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zicht" sheetId="1" state="visible" r:id="rId3"/>
    <sheet name="Alle competitors" sheetId="2" state="visible" r:id="rId4"/>
    <sheet name="DE" sheetId="3" state="visible" r:id="rId5"/>
    <sheet name="FR" sheetId="4" state="visible" r:id="rId6"/>
    <sheet name="UK" sheetId="5" state="visible" r:id="rId7"/>
    <sheet name="Bestsellers" sheetId="6" state="visible" r:id="rId8"/>
    <sheet name="Legenda" sheetId="7" state="visible" r:id="rId9"/>
  </sheets>
  <definedNames>
    <definedName function="false" hidden="true" localSheetId="1" name="_xlnm._FilterDatabase" vbProcedure="false">'Alle competitors'!$A$4:$P$62</definedName>
    <definedName function="false" hidden="true" localSheetId="5" name="_xlnm._FilterDatabase" vbProcedure="false">Bestsellers!$A$4:$H$191</definedName>
    <definedName function="false" hidden="true" localSheetId="2" name="_xlnm._FilterDatabase" vbProcedure="false">DE!$A$4:$P$40</definedName>
    <definedName function="false" hidden="true" localSheetId="3" name="_xlnm._FilterDatabase" vbProcedure="false">FR!$A$4:$P$19</definedName>
    <definedName function="false" hidden="true" localSheetId="4" name="_xlnm._FilterDatabase" vbProcedure="false">UK!$A$4:$P$11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<sst xmlns="http://schemas.openxmlformats.org/spreadsheetml/2006/main" count="1972" uniqueCount="584">
  <si>
    <t xml:space="preserve">Competitor Research – Google-dropshipping</t>
  </si>
  <si>
    <t xml:space="preserve">Laatst bijgewerkt: 29-09-2026  ·  bron bezoekers: SimilarWeb (schatting per maand)</t>
  </si>
  <si>
    <t xml:space="preserve">Instellingen (gele cellen mag je aanpassen)</t>
  </si>
  <si>
    <t xml:space="preserve">Drempel prioriteit (bezoekers/mnd)</t>
  </si>
  <si>
    <t xml:space="preserve">Drempel monitoren (bezoekers/mnd)</t>
  </si>
  <si>
    <t xml:space="preserve">Minimale match-score (lager = referentie)</t>
  </si>
  <si>
    <t xml:space="preserve">Land</t>
  </si>
  <si>
    <t xml:space="preserve">Naam</t>
  </si>
  <si>
    <t xml:space="preserve">Stores totaal</t>
  </si>
  <si>
    <t xml:space="preserve">Prioriteit (≥ drempel)</t>
  </si>
  <si>
    <t xml:space="preserve">Monitoren</t>
  </si>
  <si>
    <t xml:space="preserve">Onder drempel / geen cijfer</t>
  </si>
  <si>
    <t xml:space="preserve">Referentie</t>
  </si>
  <si>
    <t xml:space="preserve">Bezoekers prioriteit (som)</t>
  </si>
  <si>
    <t xml:space="preserve">Grootste competitor (bezoekers)</t>
  </si>
  <si>
    <t xml:space="preserve">Nog niet gekopieerd (prioriteit)</t>
  </si>
  <si>
    <t xml:space="preserve">DE</t>
  </si>
  <si>
    <t xml:space="preserve">Duitsland</t>
  </si>
  <si>
    <t xml:space="preserve">FR</t>
  </si>
  <si>
    <t xml:space="preserve">Frankrijk</t>
  </si>
  <si>
    <t xml:space="preserve">UK</t>
  </si>
  <si>
    <t xml:space="preserve">Verenigd Koninkrijk</t>
  </si>
  <si>
    <t xml:space="preserve">Totaal</t>
  </si>
  <si>
    <t xml:space="preserve">Klik op een landcode om naar dat tabblad te gaan.</t>
  </si>
  <si>
    <t xml:space="preserve">Alle competitors</t>
  </si>
  <si>
    <t xml:space="preserve">58 stores · gesorteerd op land en bezoekers</t>
  </si>
  <si>
    <t xml:space="preserve">Store</t>
  </si>
  <si>
    <t xml:space="preserve">Website</t>
  </si>
  <si>
    <t xml:space="preserve">Categorie</t>
  </si>
  <si>
    <t xml:space="preserve">Bezoekers / mnd</t>
  </si>
  <si>
    <t xml:space="preserve">Status</t>
  </si>
  <si>
    <t xml:space="preserve">Trend vorige mnd</t>
  </si>
  <si>
    <t xml:space="preserve">Match-score (1-5)</t>
  </si>
  <si>
    <t xml:space="preserve">Paid search</t>
  </si>
  <si>
    <t xml:space="preserve">Top landen</t>
  </si>
  <si>
    <t xml:space="preserve">Netwerk / operator</t>
  </si>
  <si>
    <t xml:space="preserve">Gevonden via</t>
  </si>
  <si>
    <t xml:space="preserve">Eerst gevonden</t>
  </si>
  <si>
    <t xml:space="preserve">Laatst gecheckt</t>
  </si>
  <si>
    <t xml:space="preserve">Producten gekopieerd</t>
  </si>
  <si>
    <t xml:space="preserve">Notities</t>
  </si>
  <si>
    <t xml:space="preserve">Drune</t>
  </si>
  <si>
    <t xml:space="preserve">drune.de</t>
  </si>
  <si>
    <t xml:space="preserve">Dames &amp; heren (2000+ producten)</t>
  </si>
  <si>
    <t xml:space="preserve">DE 85%, AT 13%</t>
  </si>
  <si>
    <t xml:space="preserve">Tranco-scan</t>
  </si>
  <si>
    <t xml:space="preserve">nee</t>
  </si>
  <si>
    <t xml:space="preserve">Grootste vondst. Producttypes verraden bronstores: 'stuttgart-mode', 'vardi dante', 'kaufmann mode', 'holda königsallee'</t>
  </si>
  <si>
    <t xml:space="preserve">Karlson Berlin</t>
  </si>
  <si>
    <t xml:space="preserve">karlson-berlin.com</t>
  </si>
  <si>
    <t xml:space="preserve">Dames &amp; heren, 'Naam | product'-titels</t>
  </si>
  <si>
    <t xml:space="preserve">DE 100%</t>
  </si>
  <si>
    <t xml:space="preserve">Zoekopdracht + Tranco</t>
  </si>
  <si>
    <t xml:space="preserve">Symmetry-thema, 100% prijzen op ,95</t>
  </si>
  <si>
    <t xml:space="preserve">Nordheim Mode</t>
  </si>
  <si>
    <t xml:space="preserve">nordheim-mode.de</t>
  </si>
  <si>
    <t xml:space="preserve">Dames &amp; heren, schoenen, bikini's</t>
  </si>
  <si>
    <t xml:space="preserve">DE 90%, IT 4%, PT 4%</t>
  </si>
  <si>
    <t xml:space="preserve">Impulse-thema (zoals Daily Berlin), 12 taalmarkten</t>
  </si>
  <si>
    <t xml:space="preserve">Leon Boutique</t>
  </si>
  <si>
    <t xml:space="preserve">leonboutique.co</t>
  </si>
  <si>
    <t xml:space="preserve">Dames &amp; heren, 'Naam | product'</t>
  </si>
  <si>
    <t xml:space="preserve">DE 56%, PK 37%, NL 3%</t>
  </si>
  <si>
    <t xml:space="preserve">Tranco-scan (FR-lijst)</t>
  </si>
  <si>
    <t xml:space="preserve">Gevonden tijdens FR-ronde; DE 56%, PK 37%</t>
  </si>
  <si>
    <t xml:space="preserve">Lozenda Fashion</t>
  </si>
  <si>
    <t xml:space="preserve">lozendafashion.com</t>
  </si>
  <si>
    <t xml:space="preserve">Dames &amp; heren, 2000+ producten</t>
  </si>
  <si>
    <t xml:space="preserve">DE 44%, IT 10%, FR 10%</t>
  </si>
  <si>
    <t xml:space="preserve">Actief in DE/IT/FR, 12 markten</t>
  </si>
  <si>
    <t xml:space="preserve">Sassy Classy</t>
  </si>
  <si>
    <t xml:space="preserve">sassyclassy.de</t>
  </si>
  <si>
    <t xml:space="preserve">Dames, blouses/musselin</t>
  </si>
  <si>
    <t xml:space="preserve">DE 99%</t>
  </si>
  <si>
    <t xml:space="preserve">Oogt meer als eigen boutique-label; vooral organisch verkeer</t>
  </si>
  <si>
    <t xml:space="preserve">Risora</t>
  </si>
  <si>
    <t xml:space="preserve">risora-shop.de</t>
  </si>
  <si>
    <t xml:space="preserve">Gemengd: mode + huis/tuin</t>
  </si>
  <si>
    <t xml:space="preserve">DE 82%, CH 11%, US 7%</t>
  </si>
  <si>
    <t xml:space="preserve">Themanaam letterlijk 'Risora - Google'</t>
  </si>
  <si>
    <t xml:space="preserve">Velareeh Haus</t>
  </si>
  <si>
    <t xml:space="preserve">velareehhaus.com</t>
  </si>
  <si>
    <t xml:space="preserve">Dames &amp; heren, jurken</t>
  </si>
  <si>
    <t xml:space="preserve">DE 78%, NL 22%</t>
  </si>
  <si>
    <t xml:space="preserve">Thema 'Kopie van ...' → vermoedelijk NL-operator; DE+NL verkeer</t>
  </si>
  <si>
    <t xml:space="preserve">Nordspur</t>
  </si>
  <si>
    <t xml:space="preserve">nordspur.de</t>
  </si>
  <si>
    <t xml:space="preserve">Jassen/steppjassen D&amp;H</t>
  </si>
  <si>
    <t xml:space="preserve">DE 98%</t>
  </si>
  <si>
    <t xml:space="preserve">Impact-thema, 100% ,95</t>
  </si>
  <si>
    <t xml:space="preserve">Falkenberg Mode</t>
  </si>
  <si>
    <t xml:space="preserve">falkenberg-mode.de</t>
  </si>
  <si>
    <t xml:space="preserve">Dames &amp; heren, badmode, jurken</t>
  </si>
  <si>
    <t xml:space="preserve">SimilarWeb meldt 100% organisch - controleren</t>
  </si>
  <si>
    <t xml:space="preserve">Alpenkind Mode</t>
  </si>
  <si>
    <t xml:space="preserve">alpenkindmode.com</t>
  </si>
  <si>
    <t xml:space="preserve">Dirndl/tracht + casual D&amp;H</t>
  </si>
  <si>
    <t xml:space="preserve">DE 92%, AT 8%</t>
  </si>
  <si>
    <t xml:space="preserve">Net boven 75K, dalend</t>
  </si>
  <si>
    <t xml:space="preserve">Ladypolitan</t>
  </si>
  <si>
    <t xml:space="preserve">ladypolitan.de</t>
  </si>
  <si>
    <t xml:space="preserve">Dames</t>
  </si>
  <si>
    <t xml:space="preserve">DE 70%, US 16%, AT 9%</t>
  </si>
  <si>
    <t xml:space="preserve">Lijkt echte boutique, vooral organisch</t>
  </si>
  <si>
    <t xml:space="preserve">Walther Mode</t>
  </si>
  <si>
    <t xml:space="preserve">walther-mode.com</t>
  </si>
  <si>
    <t xml:space="preserve">Dames &amp; heren</t>
  </si>
  <si>
    <t xml:space="preserve">IT 47%, US 20%, DE 11%</t>
  </si>
  <si>
    <t xml:space="preserve">Zoekopdracht</t>
  </si>
  <si>
    <t xml:space="preserve">Sterk groeiend; 12 taalmarkten, vooral IT-verkeer</t>
  </si>
  <si>
    <t xml:space="preserve">Nicole Modehaus</t>
  </si>
  <si>
    <t xml:space="preserve">nicole-modehaus.de</t>
  </si>
  <si>
    <t xml:space="preserve">Nicole (nina-nicole.de / nicole-modehaus.de)</t>
  </si>
  <si>
    <t xml:space="preserve">Zelfde catalogus als nina-nicole.de; 85% paid social</t>
  </si>
  <si>
    <t xml:space="preserve">Cecile Lavelle</t>
  </si>
  <si>
    <t xml:space="preserve">cecilelavelle.com</t>
  </si>
  <si>
    <t xml:space="preserve">Dames &amp; heren, jassen</t>
  </si>
  <si>
    <t xml:space="preserve">DE 28%, US 26%, UK 22%</t>
  </si>
  <si>
    <t xml:space="preserve">DE/US/UK verkeer</t>
  </si>
  <si>
    <t xml:space="preserve">Althausmode</t>
  </si>
  <si>
    <t xml:space="preserve">althausmode.com</t>
  </si>
  <si>
    <t xml:space="preserve">Mode D&amp;H</t>
  </si>
  <si>
    <t xml:space="preserve">Devjour-netwerk (Althaus/FabrikStil/Leipzig/Schlossberg)</t>
  </si>
  <si>
    <t xml:space="preserve">Zoekopdracht/Tranco</t>
  </si>
  <si>
    <t xml:space="preserve">&lt;25K / geen SW-data. niet in SimilarWeb</t>
  </si>
  <si>
    <t xml:space="preserve">Annoboutique</t>
  </si>
  <si>
    <t xml:space="preserve">annoboutique.com</t>
  </si>
  <si>
    <t xml:space="preserve">&lt;25K / geen SW-data. geen totaal</t>
  </si>
  <si>
    <t xml:space="preserve">Bellarosamode</t>
  </si>
  <si>
    <t xml:space="preserve">bellarosamode.com</t>
  </si>
  <si>
    <t xml:space="preserve">UK 83%, FR 17%</t>
  </si>
  <si>
    <t xml:space="preserve">&lt;25K / geen SW-data. geen totaal (UK/FR)</t>
  </si>
  <si>
    <t xml:space="preserve">Berlinlook</t>
  </si>
  <si>
    <t xml:space="preserve">berlinlook.com</t>
  </si>
  <si>
    <t xml:space="preserve">DE 93%, SE 7%</t>
  </si>
  <si>
    <t xml:space="preserve">Berlinsprime</t>
  </si>
  <si>
    <t xml:space="preserve">berlinsprime.de</t>
  </si>
  <si>
    <t xml:space="preserve">&lt;25K / geen SW-data. geen data</t>
  </si>
  <si>
    <t xml:space="preserve">Chaps Herrenmode</t>
  </si>
  <si>
    <t xml:space="preserve">chaps-herrenmode.de</t>
  </si>
  <si>
    <t xml:space="preserve">Chaps (chaps-herrenmode.de / chapslondon.co.uk)</t>
  </si>
  <si>
    <t xml:space="preserve">Fabrikstil</t>
  </si>
  <si>
    <t xml:space="preserve">fabrikstil.de</t>
  </si>
  <si>
    <t xml:space="preserve">Falkenhof Mode</t>
  </si>
  <si>
    <t xml:space="preserve">falkenhof-mode.de</t>
  </si>
  <si>
    <t xml:space="preserve">&lt;25K / geen SW-data. geen totaal (94% paid)</t>
  </si>
  <si>
    <t xml:space="preserve">Herrmann Modehaus</t>
  </si>
  <si>
    <t xml:space="preserve">herrmann-modehaus.de</t>
  </si>
  <si>
    <t xml:space="preserve">Kaufmannmode</t>
  </si>
  <si>
    <t xml:space="preserve">kaufmannmode.de</t>
  </si>
  <si>
    <t xml:space="preserve">Bronstore van Drune</t>
  </si>
  <si>
    <t xml:space="preserve">&lt;25K / geen SW-data. geen data; bronstore van Drune</t>
  </si>
  <si>
    <t xml:space="preserve">Kiezstudio</t>
  </si>
  <si>
    <t xml:space="preserve">kiezstudio.com</t>
  </si>
  <si>
    <t xml:space="preserve">Leipzigmodehausshop</t>
  </si>
  <si>
    <t xml:space="preserve">leipzigmodehausshop.de</t>
  </si>
  <si>
    <t xml:space="preserve">Mathilde Munchen</t>
  </si>
  <si>
    <t xml:space="preserve">mathilde-munchen.de</t>
  </si>
  <si>
    <t xml:space="preserve">PT 64%, DE 36%</t>
  </si>
  <si>
    <t xml:space="preserve">Modehaushartmann</t>
  </si>
  <si>
    <t xml:space="preserve">modehaushartmann.de</t>
  </si>
  <si>
    <t xml:space="preserve">&lt;25K / geen SW-data. geen totaal (92% paid)</t>
  </si>
  <si>
    <t xml:space="preserve">Modemuller</t>
  </si>
  <si>
    <t xml:space="preserve">modemuller.de</t>
  </si>
  <si>
    <t xml:space="preserve">Nina Nicole</t>
  </si>
  <si>
    <t xml:space="preserve">nina-nicole.de</t>
  </si>
  <si>
    <t xml:space="preserve">&lt;25K / geen SW-data. geen data; zusterstore van nicole-modehaus.de</t>
  </si>
  <si>
    <t xml:space="preserve">Nordmodehaus</t>
  </si>
  <si>
    <t xml:space="preserve">nordmodehaus.com</t>
  </si>
  <si>
    <t xml:space="preserve">DE 97%</t>
  </si>
  <si>
    <t xml:space="preserve">&lt;25K / geen SW-data. geen totaal (+255%, 96% paid) → volgende maand checken</t>
  </si>
  <si>
    <t xml:space="preserve">Orthoday</t>
  </si>
  <si>
    <t xml:space="preserve">orthoday.de</t>
  </si>
  <si>
    <t xml:space="preserve">Sophia Zurich</t>
  </si>
  <si>
    <t xml:space="preserve">sophia-zurich.com</t>
  </si>
  <si>
    <t xml:space="preserve">CH 70%, DE 30%</t>
  </si>
  <si>
    <t xml:space="preserve">&lt;25K / geen SW-data. geen totaal (CH)</t>
  </si>
  <si>
    <t xml:space="preserve">Stefanberlin</t>
  </si>
  <si>
    <t xml:space="preserve">stefanberlin.com</t>
  </si>
  <si>
    <t xml:space="preserve">&lt;25K / geen SW-data. geen totaal (+338%)</t>
  </si>
  <si>
    <t xml:space="preserve">Wittenwald</t>
  </si>
  <si>
    <t xml:space="preserve">wittenwald.de</t>
  </si>
  <si>
    <t xml:space="preserve">ES 55%, AT 30%, DE 15%</t>
  </si>
  <si>
    <t xml:space="preserve">&lt;25K / geen SW-data. geen totaal (groei +125%, vooral ES/AT)</t>
  </si>
  <si>
    <t xml:space="preserve">Moreau Lyon</t>
  </si>
  <si>
    <t xml:space="preserve">moreau-lyon.fr</t>
  </si>
  <si>
    <t xml:space="preserve">FR 98%</t>
  </si>
  <si>
    <t xml:space="preserve">Sleek-thema, 100% ,95, 'MERK | PRODUCT'-titels</t>
  </si>
  <si>
    <t xml:space="preserve">Lumière Boutique</t>
  </si>
  <si>
    <t xml:space="preserve">lumiereboutique.fr</t>
  </si>
  <si>
    <t xml:space="preserve">FR 100%</t>
  </si>
  <si>
    <t xml:space="preserve">Thema 'nieuw thema' → vermoedelijk NL-operator</t>
  </si>
  <si>
    <t xml:space="preserve">Laurent Monaco</t>
  </si>
  <si>
    <t xml:space="preserve">laurentmonaco.fr</t>
  </si>
  <si>
    <t xml:space="preserve">Heren</t>
  </si>
  <si>
    <t xml:space="preserve">"Autumn Edit LP"-operator (Laurent Monaco / Wentworth London)</t>
  </si>
  <si>
    <t xml:space="preserve">Zelfde thema als Wentworth London (UK) → zelfde operator</t>
  </si>
  <si>
    <t xml:space="preserve">Look de Paris</t>
  </si>
  <si>
    <t xml:space="preserve">lookdeparis.com</t>
  </si>
  <si>
    <t xml:space="preserve">Look de Paris / Boutique Paris</t>
  </si>
  <si>
    <t xml:space="preserve">Identieke catalogus als boutique-paris.fr (165.6K) → netwerk; prijzen op ,99</t>
  </si>
  <si>
    <t xml:space="preserve">Armand et Fils</t>
  </si>
  <si>
    <t xml:space="preserve">armandetfils.fr</t>
  </si>
  <si>
    <t xml:space="preserve">FR 99%</t>
  </si>
  <si>
    <t xml:space="preserve">Sterk groeiend</t>
  </si>
  <si>
    <t xml:space="preserve">Boutique Paris</t>
  </si>
  <si>
    <t xml:space="preserve">boutique-paris.fr</t>
  </si>
  <si>
    <t xml:space="preserve">Zusterstore Look de Paris</t>
  </si>
  <si>
    <t xml:space="preserve">Cette Saison</t>
  </si>
  <si>
    <t xml:space="preserve">cettesaison.fr</t>
  </si>
  <si>
    <t xml:space="preserve">FR 85%, BE 15%</t>
  </si>
  <si>
    <t xml:space="preserve">REFERENTIE - ander model. Chinese operator (themanaam), ,99-prijzen - ander model</t>
  </si>
  <si>
    <t xml:space="preserve">Maison Villard</t>
  </si>
  <si>
    <t xml:space="preserve">maisonvillard.fr</t>
  </si>
  <si>
    <t xml:space="preserve">FR 79%, BE 21%</t>
  </si>
  <si>
    <t xml:space="preserve">Parisane</t>
  </si>
  <si>
    <t xml:space="preserve">parisane.fr</t>
  </si>
  <si>
    <t xml:space="preserve">Dolce Paris</t>
  </si>
  <si>
    <t xml:space="preserve">dolce-paris.com</t>
  </si>
  <si>
    <t xml:space="preserve">FR 83%</t>
  </si>
  <si>
    <t xml:space="preserve">Laurence Boutique</t>
  </si>
  <si>
    <t xml:space="preserve">laurence-boutique.fr</t>
  </si>
  <si>
    <t xml:space="preserve">Jetta</t>
  </si>
  <si>
    <t xml:space="preserve">jetta.fr</t>
  </si>
  <si>
    <t xml:space="preserve">Gemengd</t>
  </si>
  <si>
    <t xml:space="preserve">Boutique Élégance Bordeaux</t>
  </si>
  <si>
    <t xml:space="preserve">boutique-elegance-bordeaux.fr</t>
  </si>
  <si>
    <t xml:space="preserve">Frilivin</t>
  </si>
  <si>
    <t xml:space="preserve">frilivin.fr</t>
  </si>
  <si>
    <t xml:space="preserve">FR 93%</t>
  </si>
  <si>
    <t xml:space="preserve">Evienne</t>
  </si>
  <si>
    <t xml:space="preserve">evienne.fr</t>
  </si>
  <si>
    <t xml:space="preserve">Pink Boutique</t>
  </si>
  <si>
    <t xml:space="preserve">pinkboutique.co.uk</t>
  </si>
  <si>
    <t xml:space="preserve">UK 45%</t>
  </si>
  <si>
    <t xml:space="preserve">REFERENTIE - ander model. Echt UK-merk (eigen label, £ ,99), GEEN dropship-model - alleen referentie</t>
  </si>
  <si>
    <t xml:space="preserve">Wilson &amp; Carter</t>
  </si>
  <si>
    <t xml:space="preserve">wilson-and-carter.com</t>
  </si>
  <si>
    <t xml:space="preserve">PH 45%, UK 40%</t>
  </si>
  <si>
    <t xml:space="preserve">Wilson &amp; Carter (2 domeinen)</t>
  </si>
  <si>
    <t xml:space="preserve">Ook wilsoncarter-london.com (UK 71%). UK-aandeel ≈ 80K; PH-verkeer = waarschijnlijk eigen team/VA's</t>
  </si>
  <si>
    <t xml:space="preserve">Wentworth London</t>
  </si>
  <si>
    <t xml:space="preserve">wentworthlondon.com</t>
  </si>
  <si>
    <t xml:space="preserve">UK 98%</t>
  </si>
  <si>
    <t xml:space="preserve">Zelfde operator als Laurent Monaco (FR)</t>
  </si>
  <si>
    <t xml:space="preserve">Femme Luxe</t>
  </si>
  <si>
    <t xml:space="preserve">femmeluxe.co.uk</t>
  </si>
  <si>
    <t xml:space="preserve">UK 40%</t>
  </si>
  <si>
    <t xml:space="preserve">REFERENTIE - ander model. Eigen merk, geen dropship-model</t>
  </si>
  <si>
    <t xml:space="preserve">Chaps London</t>
  </si>
  <si>
    <t xml:space="preserve">chapslondon.co.uk</t>
  </si>
  <si>
    <t xml:space="preserve">UK 100%</t>
  </si>
  <si>
    <t xml:space="preserve">geen SW-cijfer. Zelfde naam als chaps-herrenmode.de → vermoedelijk zelfde operator</t>
  </si>
  <si>
    <t xml:space="preserve">London Ward</t>
  </si>
  <si>
    <t xml:space="preserve">londonward.co</t>
  </si>
  <si>
    <t xml:space="preserve">UK 99%</t>
  </si>
  <si>
    <t xml:space="preserve">geen SW-cijfer</t>
  </si>
  <si>
    <t xml:space="preserve">Mayfair &amp; Finch</t>
  </si>
  <si>
    <t xml:space="preserve">mayfairandfinch.co.uk</t>
  </si>
  <si>
    <t xml:space="preserve">geen SW-cijfer. Snel groeiend, volgende maand checken</t>
  </si>
  <si>
    <t xml:space="preserve">Duitsland · 36 stores</t>
  </si>
  <si>
    <t xml:space="preserve">Frankrijk · 15 stores</t>
  </si>
  <si>
    <t xml:space="preserve">Verenigd Koninkrijk · 7 stores</t>
  </si>
  <si>
    <t xml:space="preserve">Bestsellers van prioriteit-competitors</t>
  </si>
  <si>
    <t xml:space="preserve">Volgorde volgens de store zelf (sort_by=best-selling, over de hele looptijd, dus ook buiten het seizoen).</t>
  </si>
  <si>
    <t xml:space="preserve">Rank</t>
  </si>
  <si>
    <t xml:space="preserve">Product</t>
  </si>
  <si>
    <t xml:space="preserve">Prijs</t>
  </si>
  <si>
    <t xml:space="preserve">URL</t>
  </si>
  <si>
    <t xml:space="preserve">Opgehaald op</t>
  </si>
  <si>
    <t xml:space="preserve">Drune | Elegante Seidenbluse Für Damen</t>
  </si>
  <si>
    <t xml:space="preserve">stuttgart-mode-nov20241202</t>
  </si>
  <si>
    <t xml:space="preserve">Bekijk</t>
  </si>
  <si>
    <t xml:space="preserve">Drune | Herren Rollkragenpullover aus hochwertigem Material</t>
  </si>
  <si>
    <t xml:space="preserve">kaufmann mode20241203</t>
  </si>
  <si>
    <t xml:space="preserve">Drune - Gepolsterte Jacke für Herren</t>
  </si>
  <si>
    <t xml:space="preserve">Drune | Dehnbare knitterfreie Hemd</t>
  </si>
  <si>
    <t xml:space="preserve">holda königsallee20241203</t>
  </si>
  <si>
    <t xml:space="preserve">Drune | Karim Hoodie Bequemer Kapuzenpullover</t>
  </si>
  <si>
    <t xml:space="preserve">Drune | Leder-Cowboy-Stiefel für Damen</t>
  </si>
  <si>
    <t xml:space="preserve">Drune | Oliver Winterweste aus Kordsamt</t>
  </si>
  <si>
    <t xml:space="preserve">Drune | Gestepptes Cord-Samt-Jacke – Stil &amp; Komfort Für Damen</t>
  </si>
  <si>
    <t xml:space="preserve">luxza fashion20241205</t>
  </si>
  <si>
    <t xml:space="preserve">Damen-Kleid mit schmeichelhaftem Schnitt für Alltag und besondere Anlässe</t>
  </si>
  <si>
    <t xml:space="preserve">Drune | Damen Businessanzug - Eleganz für jedes Meeting</t>
  </si>
  <si>
    <t xml:space="preserve">Isla™ - Leichtes Kleid</t>
  </si>
  <si>
    <t xml:space="preserve">Cotton Dress</t>
  </si>
  <si>
    <t xml:space="preserve">Sophie | Elegantes Blumenkleid für den Sommer</t>
  </si>
  <si>
    <t xml:space="preserve">Floral Dresses</t>
  </si>
  <si>
    <t xml:space="preserve">Eva | Dein selbstbewusster Bauch-Weg-Bikini</t>
  </si>
  <si>
    <t xml:space="preserve">Damen &gt; Bekleidung &gt; Bademode &gt; Bikinis</t>
  </si>
  <si>
    <t xml:space="preserve">Martina | Bikini kariert mit drahtfreiem BH und hochgeschnittener Unterhose</t>
  </si>
  <si>
    <t xml:space="preserve">Bekleidung &gt; Damen &gt; Bademode &gt; Bikini-Sets</t>
  </si>
  <si>
    <t xml:space="preserve">Rosa™ - Orthopädische Mokassins</t>
  </si>
  <si>
    <t xml:space="preserve">Orthopedic Leather Moccasins</t>
  </si>
  <si>
    <t xml:space="preserve">Sela™ – Küstenblumen Midi Kleid</t>
  </si>
  <si>
    <t xml:space="preserve">Bekleidung &gt; Damen &gt; Kleider &gt; Midikleider</t>
  </si>
  <si>
    <t xml:space="preserve">Langford Sommer Sandalen</t>
  </si>
  <si>
    <t xml:space="preserve">Herren &gt; Schuhe &gt; Sandalen</t>
  </si>
  <si>
    <t xml:space="preserve">Chic Schichtkleid mit Puffärmeln für Frauen</t>
  </si>
  <si>
    <t xml:space="preserve">Damen &gt; Bekleidung &gt; Kleider &gt; Midikleider</t>
  </si>
  <si>
    <t xml:space="preserve">Rocio™ - Vielseitiger verstellbarer Schnallen-Jeansoverall</t>
  </si>
  <si>
    <t xml:space="preserve">Damen &gt; Bekleidung &gt; Kleider</t>
  </si>
  <si>
    <t xml:space="preserve">Wilson | Klassisches Langarm-Poloshirt</t>
  </si>
  <si>
    <t xml:space="preserve">Shirts Blouses &amp; Polo's Men</t>
  </si>
  <si>
    <t xml:space="preserve">Cassie | Perfekt sitzendes V-Ausschnitt-Kleid</t>
  </si>
  <si>
    <t xml:space="preserve">Dresses Women</t>
  </si>
  <si>
    <t xml:space="preserve">Franco | Premium-Komforthose</t>
  </si>
  <si>
    <t xml:space="preserve">Jeans &amp; Pants Men</t>
  </si>
  <si>
    <t xml:space="preserve">Calixto | Der Trendy Style-Pullover</t>
  </si>
  <si>
    <t xml:space="preserve">Sweaters &amp; Hoodies Men</t>
  </si>
  <si>
    <t xml:space="preserve">Cristof | Lockeres Sommerhemd</t>
  </si>
  <si>
    <t xml:space="preserve">Lynda | Orthopädische Slipper mit Seildetail</t>
  </si>
  <si>
    <t xml:space="preserve">Shoes &amp; Sneakers Women</t>
  </si>
  <si>
    <t xml:space="preserve">Juniper | Luftiges Artisan-Kleid</t>
  </si>
  <si>
    <t xml:space="preserve">Marga | Modernes Boho-Midikleid</t>
  </si>
  <si>
    <t xml:space="preserve">Rebecca | Elegantes Maxikleid</t>
  </si>
  <si>
    <t xml:space="preserve">Monica | Stilvolles Crossover-Kleid</t>
  </si>
  <si>
    <t xml:space="preserve">Damen Traditionelles Dirndlkleid mit Spitzenbluse und Schnürmieder</t>
  </si>
  <si>
    <t xml:space="preserve">Dirndl for Women</t>
  </si>
  <si>
    <t xml:space="preserve">Herren Shorts mit Rippenstruktur und aufgesetzten Taschen</t>
  </si>
  <si>
    <t xml:space="preserve">Shorts for men</t>
  </si>
  <si>
    <t xml:space="preserve">Langarm-Leinenhemd mit Knopfleiste für Herren</t>
  </si>
  <si>
    <t xml:space="preserve">Shirts for men</t>
  </si>
  <si>
    <t xml:space="preserve">Damen Traditionelles Midi Dirndl mit Schürze</t>
  </si>
  <si>
    <t xml:space="preserve">Herren-Leinenhemd mit Kurzarm und Stehkragen</t>
  </si>
  <si>
    <t xml:space="preserve">Herren-Leinenhose mit Kordelzug</t>
  </si>
  <si>
    <t xml:space="preserve">Pants for Men</t>
  </si>
  <si>
    <t xml:space="preserve">Herren Cord-Shorts mit Kordelzug</t>
  </si>
  <si>
    <t xml:space="preserve">Herren Kurzarm Oberteil mit Drei Knopf Leiste</t>
  </si>
  <si>
    <t xml:space="preserve">T-shirt for men</t>
  </si>
  <si>
    <t xml:space="preserve">Herrenhemd mit Knopfleiste und langen Ärmeln</t>
  </si>
  <si>
    <t xml:space="preserve">Herren Dreiteiliger Anzug Set mit Sakko, Weste und Hose</t>
  </si>
  <si>
    <t xml:space="preserve">Lace-Up Sneakers Herren | Rutschfest &amp; Komfortabler Halt</t>
  </si>
  <si>
    <t xml:space="preserve">AS - Mens - Sneakers</t>
  </si>
  <si>
    <t xml:space="preserve">Winterjacke Damen | Feste Kapuze &amp; Windschutz</t>
  </si>
  <si>
    <t xml:space="preserve">AW - Womens - Jackets &amp; Coats</t>
  </si>
  <si>
    <t xml:space="preserve">Trainingsanzug Herren Set | Kapuze &amp; Gerade Passform</t>
  </si>
  <si>
    <t xml:space="preserve">AS - Mens - Loungewear Sets</t>
  </si>
  <si>
    <t xml:space="preserve">Sportanzug Herren | Hoodie mit Reißverschluss | Komplettes 2-Teile Set</t>
  </si>
  <si>
    <t xml:space="preserve">AS - Mens - Sports Set</t>
  </si>
  <si>
    <t xml:space="preserve">Poloshirt Herren | Slim Fit &amp; Modern</t>
  </si>
  <si>
    <t xml:space="preserve">SS - Mens - Tops &amp; Blouses</t>
  </si>
  <si>
    <t xml:space="preserve">Sommersandalen Damen | Bequem &amp; Sportlich</t>
  </si>
  <si>
    <t xml:space="preserve">SS - Womens - Sandals</t>
  </si>
  <si>
    <t xml:space="preserve">Damen Winterjacke | Doppellagiges Design | Elegante Passform | Atmungsaktiv &amp; Warm</t>
  </si>
  <si>
    <t xml:space="preserve">Jogginganzug Damen | 2-teiliges Set &amp; Elastikbund-Komfort</t>
  </si>
  <si>
    <t xml:space="preserve">AS - Womens - Sets &amp; Co-Ords</t>
  </si>
  <si>
    <t xml:space="preserve">Langärmliges Maxikleid - Mühelose Eleganz für jeden Anlass</t>
  </si>
  <si>
    <t xml:space="preserve">Women Dress</t>
  </si>
  <si>
    <t xml:space="preserve">Sommerkleid mit Blumen Damen | Luftig &amp; Figurumspielend</t>
  </si>
  <si>
    <t xml:space="preserve">SS - Womens - Dresses</t>
  </si>
  <si>
    <t xml:space="preserve">Musselin Bluse oversize - hellbeige</t>
  </si>
  <si>
    <t xml:space="preserve">Bekleidung &gt; Blusen &gt; Musselin</t>
  </si>
  <si>
    <t xml:space="preserve">Thermo Leggings - schwarz</t>
  </si>
  <si>
    <t xml:space="preserve">Bekleidung &gt; Leggings &gt; Thermo</t>
  </si>
  <si>
    <t xml:space="preserve">Musselin Bluse oversize, kurz - hellbeige</t>
  </si>
  <si>
    <t xml:space="preserve">Musselin Bluse oversize - weiß</t>
  </si>
  <si>
    <t xml:space="preserve">Musselin Bluse oversize - schwarz</t>
  </si>
  <si>
    <t xml:space="preserve">Musselin Bluse oversize, kurz - weiß</t>
  </si>
  <si>
    <t xml:space="preserve">Musselin Bluse oversize, kurz - taupe</t>
  </si>
  <si>
    <t xml:space="preserve">Mesh Langarmshirt mit Leo-Print - braun</t>
  </si>
  <si>
    <t xml:space="preserve">Bekleidung &gt; Langarmshirts</t>
  </si>
  <si>
    <t xml:space="preserve">Musselin Bluse oversize, kurz - schwarz</t>
  </si>
  <si>
    <t xml:space="preserve">Musselin Bluse oversize, kurz - salbeigrün</t>
  </si>
  <si>
    <t xml:space="preserve">Damen Maxikleid mit Korsettoberteil und Breiten Schulterträgern</t>
  </si>
  <si>
    <t xml:space="preserve">Maxi Dress</t>
  </si>
  <si>
    <t xml:space="preserve">Damen Maxikleid mit Spaghettiträgern drapiertem Ausschnitt und seitlichem Schlitz</t>
  </si>
  <si>
    <t xml:space="preserve">Damen Bodenlanges Kleid mit V-Ausschnitt Spaghettiträgern und Paillettenbesatz</t>
  </si>
  <si>
    <t xml:space="preserve">Dress Women</t>
  </si>
  <si>
    <t xml:space="preserve">Damen Maxikleid mit Carré-Dekolleté Spaghettiträgern Seitlicher Raffung und Beinschlitz</t>
  </si>
  <si>
    <t xml:space="preserve">Damen Maxikleid mit Spaghettiträgern und Gerafftem Ausschnitt mit Bindeschleife</t>
  </si>
  <si>
    <t xml:space="preserve">Damen Ärmelloses Maxikleid mit Nackenbindung Offenem Rücken und Geraffter Taillenpartie</t>
  </si>
  <si>
    <t xml:space="preserve">Damen Midikleid mit Bustier-Oberteil Spaghettiträgern Spitzenbesatz am Ausschnitt und Tellerrock mit Seitentaschen</t>
  </si>
  <si>
    <t xml:space="preserve">Midi Dress</t>
  </si>
  <si>
    <t xml:space="preserve">Kenzo | Herren Klassischer Low-Top-Sneaker</t>
  </si>
  <si>
    <t xml:space="preserve">Men's Sneakers</t>
  </si>
  <si>
    <t xml:space="preserve">Damen Gerafftes Minikleid mit Karree-Ausschnitt und breiten Trägern</t>
  </si>
  <si>
    <t xml:space="preserve">Mini Dress</t>
  </si>
  <si>
    <t xml:space="preserve">Damen Off-Shoulder Maxikleid mit gerafftem Oberteil und halbtransparentem Rockteil</t>
  </si>
  <si>
    <t xml:space="preserve">Eleganter Surplice-Badeanzug mit auffälligem buntem Druck</t>
  </si>
  <si>
    <t xml:space="preserve">Figure Shaping Swimsuit</t>
  </si>
  <si>
    <t xml:space="preserve">Lyra | Outfit mit drapierter Schleife</t>
  </si>
  <si>
    <t xml:space="preserve">Outfit Set</t>
  </si>
  <si>
    <t xml:space="preserve">Aikaterini – Elegantes ärmelloses Kleid mit Taschen</t>
  </si>
  <si>
    <t xml:space="preserve">Elegant Dress</t>
  </si>
  <si>
    <t xml:space="preserve">Alina Doppelträger-Badeanzug – schick, figurschmeichelnde Passform mit sicherem Halt</t>
  </si>
  <si>
    <t xml:space="preserve">Two-Strap Swimsuit</t>
  </si>
  <si>
    <t xml:space="preserve">Martina™ | Pullover mit hohem Kragen</t>
  </si>
  <si>
    <t xml:space="preserve">pullover Sweater</t>
  </si>
  <si>
    <t xml:space="preserve">Shaharit - Eleganter Gemütlicher Strickjacke Mit Knöpfen</t>
  </si>
  <si>
    <t xml:space="preserve">Elegant Sweater</t>
  </si>
  <si>
    <t xml:space="preserve">Alvin™ | Premium Casual Hemd</t>
  </si>
  <si>
    <t xml:space="preserve">Casual Shirt</t>
  </si>
  <si>
    <t xml:space="preserve">Vintage-Blumenkleid für Damen mit Taschen</t>
  </si>
  <si>
    <t xml:space="preserve">Vintage Dress</t>
  </si>
  <si>
    <t xml:space="preserve">Bikini mit Blumenmuster, markantem Kontrast und verführerischem Seitenschlitz</t>
  </si>
  <si>
    <t xml:space="preserve">Bikini Set</t>
  </si>
  <si>
    <t xml:space="preserve">Bryony | Locker Sitzender Pullover</t>
  </si>
  <si>
    <t xml:space="preserve">Comfortable Sweater</t>
  </si>
  <si>
    <t xml:space="preserve">Versandschutz</t>
  </si>
  <si>
    <t xml:space="preserve">Upcart - Shipping Protection</t>
  </si>
  <si>
    <t xml:space="preserve">Winterstiefel für Herren Wasserdicht – ThermoStride</t>
  </si>
  <si>
    <t xml:space="preserve">Men's Winter Boots</t>
  </si>
  <si>
    <t xml:space="preserve">Wasserdichte Winterstiefel Damen gefüttert – FrostTrek Urban</t>
  </si>
  <si>
    <t xml:space="preserve">Fahrrad-Handyhalterung wasserdicht mit Touchscreen – TouchRide 6.4</t>
  </si>
  <si>
    <t xml:space="preserve">Bike Phone Mounts</t>
  </si>
  <si>
    <t xml:space="preserve">Fahrradarmlinge mit UV-Schutz &amp; Kühlfunktion – IceGuard Sleeves</t>
  </si>
  <si>
    <t xml:space="preserve">Bike Accessories</t>
  </si>
  <si>
    <t xml:space="preserve">Nordspur | NordicFlannel Jacke</t>
  </si>
  <si>
    <t xml:space="preserve">Men's Jackets</t>
  </si>
  <si>
    <t xml:space="preserve">Komfortable Walking-Schuhe im Chelsea-Design – Bequeme Slip-On Boots für Herren</t>
  </si>
  <si>
    <t xml:space="preserve">Men's Chelsea Boots</t>
  </si>
  <si>
    <t xml:space="preserve">Cargo Jeansjacke mit Mehrfach-Taschen &amp; Robustem Design – UrbanTrail Jacket</t>
  </si>
  <si>
    <t xml:space="preserve">Wasserdichter Allwetter-Mantel mit Kapuze &amp; Fronttasche – StormShield Parka</t>
  </si>
  <si>
    <t xml:space="preserve">Women's Jackets</t>
  </si>
  <si>
    <t xml:space="preserve">Pyjama Damen Einteiler Fleece mit Reißverschluss – CozyLuxe Onesie</t>
  </si>
  <si>
    <t xml:space="preserve">Nightwear</t>
  </si>
  <si>
    <t xml:space="preserve">AirFlow Pure 3-in-1 Kühler – Stilvoll, Leise und Gesund</t>
  </si>
  <si>
    <t xml:space="preserve">Orthopädisches Hundebett mit Kopfkissen – Luxus und Komfort</t>
  </si>
  <si>
    <t xml:space="preserve">MagSafe Silikonhülle – Ultimativer Schutz und eleganter Griff</t>
  </si>
  <si>
    <t xml:space="preserve">Design Deckenventilator mit LED – Flüsterleise Komfort und modernes Licht</t>
  </si>
  <si>
    <t xml:space="preserve">Randlose Quadratische Brille für Herren – Eleganz und Komfort in Einem</t>
  </si>
  <si>
    <t xml:space="preserve">RoachStop Gel – Schnell und Sicher Kakerlaken Bekämpfen</t>
  </si>
  <si>
    <t xml:space="preserve">Leichte Sicherheitsschuhe für Herren – Atmungsaktiv mit Stahlkappenschutz</t>
  </si>
  <si>
    <t xml:space="preserve">Wiederaufladbare kabellose LED-Lampe – Wasserdicht &amp; Dimmbar</t>
  </si>
  <si>
    <t xml:space="preserve">Unisex Fahrradschuhe mit Drehverschluss – Leicht und Komfortabel</t>
  </si>
  <si>
    <t xml:space="preserve">MOREAU LYON | SANDALES CHIC AJUSTABLES POUR FEMMES</t>
  </si>
  <si>
    <t xml:space="preserve">Women's Sandals</t>
  </si>
  <si>
    <t xml:space="preserve">MOREAU LYON | ROBE MIDI D'ÉTÉ POUR FEMMES</t>
  </si>
  <si>
    <t xml:space="preserve">MOREAU LYON | ROBE BOHÉMIENNE CHIC ET FLUIDE POUR FEMMES</t>
  </si>
  <si>
    <t xml:space="preserve">Women’s Dresses</t>
  </si>
  <si>
    <t xml:space="preserve">MOREAU LYON | MAILLOT DE BAIN AMINCISSANT POUR FEMMES</t>
  </si>
  <si>
    <t xml:space="preserve">Women's Swimsuits</t>
  </si>
  <si>
    <t xml:space="preserve">MOREAU LYON | ROBE MIDI EN LIN FLORAL ANCIEN POUR FEMMES</t>
  </si>
  <si>
    <t xml:space="preserve">MOREAU LYON | MAILLOT DE BAIN ÉLÉGANT POUR FEMMES</t>
  </si>
  <si>
    <t xml:space="preserve">MOREAU LYON | ROBE MIDI FLEURIE ÉLÉGANTE POUR FEMMES</t>
  </si>
  <si>
    <t xml:space="preserve">MOREAU LYON | ENSEMBLE EN LIN EN TROIS PIÈCES POUR FEMMES</t>
  </si>
  <si>
    <t xml:space="preserve">Women’s Sets</t>
  </si>
  <si>
    <t xml:space="preserve">MOREAU LYON | ROBE BRODÉE POUR FEMME</t>
  </si>
  <si>
    <t xml:space="preserve">MOREAU LYON | ROBE MIDI ÉLÉGANTE CHIC POUR FEMMES</t>
  </si>
  <si>
    <t xml:space="preserve">Robe Femme Coton Col V Coupe Fluide Style Décontracté Élégant</t>
  </si>
  <si>
    <t xml:space="preserve">Combinaison Femme Élégante Décolleté V Coupe Fluide Jambes Larges</t>
  </si>
  <si>
    <t xml:space="preserve">Sandales Plates Pour Femmes au Style Estival et Élégant</t>
  </si>
  <si>
    <t xml:space="preserve">Sandales</t>
  </si>
  <si>
    <t xml:space="preserve">Robe Femme Coton Lin Boutonnée Manches Volantées Style Estival</t>
  </si>
  <si>
    <t xml:space="preserve">Robe Chemise Midi Femme Lin Coton Boutonnée Élégante</t>
  </si>
  <si>
    <t xml:space="preserve">Short Sleeve Mini Dress</t>
  </si>
  <si>
    <t xml:space="preserve">Baskets Orthopédiques Femme – Confort Avancé et Design Moderne</t>
  </si>
  <si>
    <t xml:space="preserve">Robe Femme Longue Bohème Lin Coton Coupe Fluide Élégante</t>
  </si>
  <si>
    <t xml:space="preserve">Robe Femme Coton Lin Boutonnée Manches 3/4 Coupe Ample Élégante</t>
  </si>
  <si>
    <t xml:space="preserve">Robe femme midi sans manches à encolure haute et fente – élégante été</t>
  </si>
  <si>
    <t xml:space="preserve">Pull Femme Chaud en Tricot Waffle | Confort &amp; Douceur</t>
  </si>
  <si>
    <t xml:space="preserve">LAURENT MONACO | MANTEAU DEUX PIECES</t>
  </si>
  <si>
    <t xml:space="preserve">Men's Coats</t>
  </si>
  <si>
    <t xml:space="preserve">LAURENT MONACO | CHAUSSURES ERGONOMIQUES ORTHOPÉDIQUES</t>
  </si>
  <si>
    <t xml:space="preserve">Men's Shoes</t>
  </si>
  <si>
    <t xml:space="preserve">LAURENT MONACO | PANTALONS POUR HOMMES À COUPE CONFORTABLE</t>
  </si>
  <si>
    <t xml:space="preserve">Men's Pants</t>
  </si>
  <si>
    <t xml:space="preserve">LAURENT MONACO | POLO DE LUXE À MANCHES LONGUES</t>
  </si>
  <si>
    <t xml:space="preserve">Men's Sweaters</t>
  </si>
  <si>
    <t xml:space="preserve">LAURENT MONACO | MANTEAU D'HIVER</t>
  </si>
  <si>
    <t xml:space="preserve">LAURENT MONACO | CHEMISE ARTISANALE</t>
  </si>
  <si>
    <t xml:space="preserve">Men's T-shirts</t>
  </si>
  <si>
    <t xml:space="preserve">LAURENT MONACO | PULL EN PUR CACHEMIRE</t>
  </si>
  <si>
    <t xml:space="preserve">LAURENT MONACO | CHEMISE DE LUXE AVEC CAPUCHE</t>
  </si>
  <si>
    <t xml:space="preserve">LAURENT MONACO | BOXER EN COTON BIOLOGIQUE POUR HOMME (lot de 3)</t>
  </si>
  <si>
    <t xml:space="preserve">Men's Accessories</t>
  </si>
  <si>
    <t xml:space="preserve">LAURENT MONACO | VESTE POUR HOMME DE LUXE</t>
  </si>
  <si>
    <t xml:space="preserve">Arthur - Veste matelassé homme</t>
  </si>
  <si>
    <t xml:space="preserve">Homme Veste</t>
  </si>
  <si>
    <t xml:space="preserve">Pierre - Homme Pull thermique tricoté</t>
  </si>
  <si>
    <t xml:space="preserve">Homme Pull</t>
  </si>
  <si>
    <t xml:space="preserve">Antoine - Chemise en Lin Décontractée Homme</t>
  </si>
  <si>
    <t xml:space="preserve">Homme Chemise</t>
  </si>
  <si>
    <t xml:space="preserve">Maya – Sweat à capuche femme au design moderne</t>
  </si>
  <si>
    <t xml:space="preserve">Femme Sweat</t>
  </si>
  <si>
    <t xml:space="preserve">Odile - Cardigan chat automne femme</t>
  </si>
  <si>
    <t xml:space="preserve">Femme Gilet</t>
  </si>
  <si>
    <t xml:space="preserve">Gabrielle - Cachemire Maille Femme</t>
  </si>
  <si>
    <t xml:space="preserve">Débardeur Homme Côtelé En Coton Slim Fit - Rocco</t>
  </si>
  <si>
    <t xml:space="preserve">Homme T-shirt</t>
  </si>
  <si>
    <t xml:space="preserve">Hugo - Doudoune homme légère</t>
  </si>
  <si>
    <t xml:space="preserve">Homme Doudoune &amp; Parka</t>
  </si>
  <si>
    <t xml:space="preserve">Bermuda cargo homme</t>
  </si>
  <si>
    <t xml:space="preserve">Shorts</t>
  </si>
  <si>
    <t xml:space="preserve">Short homme rayé à cordon</t>
  </si>
  <si>
    <t xml:space="preserve">Mules homme à enfiler</t>
  </si>
  <si>
    <t xml:space="preserve">Sandals</t>
  </si>
  <si>
    <t xml:space="preserve">Mocassins homme à empeigne unie</t>
  </si>
  <si>
    <t xml:space="preserve">Loafer</t>
  </si>
  <si>
    <t xml:space="preserve">Derbies homme à œillets</t>
  </si>
  <si>
    <t xml:space="preserve">Shoes</t>
  </si>
  <si>
    <t xml:space="preserve">Baskets homme maille à lacets</t>
  </si>
  <si>
    <t xml:space="preserve">Sneakers</t>
  </si>
  <si>
    <t xml:space="preserve">Derbies homme à lacets</t>
  </si>
  <si>
    <t xml:space="preserve">Sandales homme bout fermé</t>
  </si>
  <si>
    <t xml:space="preserve">Mocassins homme bandeau</t>
  </si>
  <si>
    <t xml:space="preserve">Loafers</t>
  </si>
  <si>
    <t xml:space="preserve">Pantalon homme à pinces</t>
  </si>
  <si>
    <t xml:space="preserve">Pants</t>
  </si>
  <si>
    <t xml:space="preserve">MARJORIE | ORTHOPAEDIC SANDALS</t>
  </si>
  <si>
    <t xml:space="preserve">Arabella | Vibrant Pattern Midi Dress</t>
  </si>
  <si>
    <t xml:space="preserve">Dress</t>
  </si>
  <si>
    <t xml:space="preserve">Mandy | Elegant Collared Button Dress</t>
  </si>
  <si>
    <t xml:space="preserve">Spencer | Refined Heritage Polo Shirt</t>
  </si>
  <si>
    <t xml:space="preserve">Polo Shirt</t>
  </si>
  <si>
    <t xml:space="preserve">Oliver | Casual Waffle Summer Shorts</t>
  </si>
  <si>
    <t xml:space="preserve">Maurice | Timeless Plain Everyday Trousers</t>
  </si>
  <si>
    <t xml:space="preserve">Trousers</t>
  </si>
  <si>
    <t xml:space="preserve">Callum | Classic Cargo Utility Shorts</t>
  </si>
  <si>
    <t xml:space="preserve">Nathalie | Stylish Multicolour V-Neck Dress</t>
  </si>
  <si>
    <t xml:space="preserve">Genevieve | Elegant Wide-Leg Jumpsuit</t>
  </si>
  <si>
    <t xml:space="preserve">Jumpsuit</t>
  </si>
  <si>
    <t xml:space="preserve">Garrick | Classic Collared Button Shirt</t>
  </si>
  <si>
    <t xml:space="preserve">Shirt</t>
  </si>
  <si>
    <t xml:space="preserve">VINTAGE CARGO SHORTS FOR MEN</t>
  </si>
  <si>
    <t xml:space="preserve">Men's Shorts</t>
  </si>
  <si>
    <t xml:space="preserve">TEXTURED POLO SHIRT FOR MEN</t>
  </si>
  <si>
    <t xml:space="preserve">Men's Shirts</t>
  </si>
  <si>
    <t xml:space="preserve">UTILITY CARGO SHORTS FOR MEN</t>
  </si>
  <si>
    <t xml:space="preserve">Men's Short</t>
  </si>
  <si>
    <t xml:space="preserve">LINEN POLO SHIRT FOR MEN</t>
  </si>
  <si>
    <t xml:space="preserve">QUICK DRY SWIM SHORTS FOR MEN</t>
  </si>
  <si>
    <t xml:space="preserve">ORTHOPEDIC WALKING SHOES FOR MEN</t>
  </si>
  <si>
    <t xml:space="preserve">DRAWSTRING SUMMER SHORTS FOR MEN</t>
  </si>
  <si>
    <t xml:space="preserve">RELAXED FIT SHORTS FOR MEN</t>
  </si>
  <si>
    <t xml:space="preserve">LEATHER SNEAKERS FOR MEN</t>
  </si>
  <si>
    <t xml:space="preserve">BLAZER JACKET FOR MEN</t>
  </si>
  <si>
    <t xml:space="preserve">Men's Blazers</t>
  </si>
  <si>
    <t xml:space="preserve">Relaxed Linen Summer Midi Dress with Hollow Out Detail and Flared Sleeves</t>
  </si>
  <si>
    <t xml:space="preserve">Dresses</t>
  </si>
  <si>
    <t xml:space="preserve">Bohemian Lace Trim Blouse with Swiss Dot Texture and V-Neckline</t>
  </si>
  <si>
    <t xml:space="preserve">Tops</t>
  </si>
  <si>
    <t xml:space="preserve">Relaxed Linen Shorts with Elastic Waist and Side Pockets</t>
  </si>
  <si>
    <t xml:space="preserve">Relaxed Linen Trousers with Drawstring Waist and Straight Leg</t>
  </si>
  <si>
    <t xml:space="preserve">Relaxed Linen Blouse with V-Neckline and Ruffle Sleeves</t>
  </si>
  <si>
    <t xml:space="preserve">Soft Knit Cardigan with Button Front and Round Neckline</t>
  </si>
  <si>
    <t xml:space="preserve">Cardigan</t>
  </si>
  <si>
    <t xml:space="preserve">Sleeveless Midi Dress with Round Neck and Relaxed Fit</t>
  </si>
  <si>
    <t xml:space="preserve">Relaxed Linen Blouse with V-Neckline and Single Button</t>
  </si>
  <si>
    <t xml:space="preserve">Elegant Mauve Chiffon Maxi Dress with Lace Trim and Satin Waist Belt</t>
  </si>
  <si>
    <t xml:space="preserve">Relaxed Linen Capri Pants with Side Pockets</t>
  </si>
  <si>
    <t xml:space="preserve">Lauren Men's Luxury Summer Jacket</t>
  </si>
  <si>
    <t xml:space="preserve">Bamboo Lightweight Men's Underwear – Perfect for Spring &amp; Summer</t>
  </si>
  <si>
    <t xml:space="preserve">Trunks</t>
  </si>
  <si>
    <t xml:space="preserve">Ice Cream Shirt - Short Sleeve - Button-Up - Polo Shirt - Men's Shirts</t>
  </si>
  <si>
    <t xml:space="preserve">Men's Top</t>
  </si>
  <si>
    <t xml:space="preserve">Overshirt - Buttoned - Chest Pockets - Men's Shirt - Shirt Jacket</t>
  </si>
  <si>
    <t xml:space="preserve">Jackets</t>
  </si>
  <si>
    <t xml:space="preserve">Flannel Jacket - Men's Fleece Lined Plaid Overshirt Jacket for Winter</t>
  </si>
  <si>
    <t xml:space="preserve">Coats &amp; Jackets</t>
  </si>
  <si>
    <t xml:space="preserve">Zip-Up Hoodie | Comfy | Cotton | NY Hoodie | Men's Hoodie</t>
  </si>
  <si>
    <t xml:space="preserve">Hoodies</t>
  </si>
  <si>
    <t xml:space="preserve">Linen Shirt - Long Sleeve - Lightweight - Button-Up Shirt - Men's Shirts</t>
  </si>
  <si>
    <t xml:space="preserve">Shipping protection</t>
  </si>
  <si>
    <t xml:space="preserve">Shipping Protection</t>
  </si>
  <si>
    <t xml:space="preserve">Linen Shirt - Cotton - Half-button - Men's Shirt - Linen Clothing For Men</t>
  </si>
  <si>
    <t xml:space="preserve">Shirts</t>
  </si>
  <si>
    <t xml:space="preserve">Knitted Sweater - Patchwork - Loose Fit - Pullover Sweater - Men's Knitted Jumper</t>
  </si>
  <si>
    <t xml:space="preserve">Men's Long Sleeves</t>
  </si>
  <si>
    <t xml:space="preserve">Legenda</t>
  </si>
  <si>
    <t xml:space="preserve">Wordt automatisch berekend uit bezoekers en match-score, met de drempels op het Overzicht.</t>
  </si>
  <si>
    <t xml:space="preserve">  Prioriteit</t>
  </si>
  <si>
    <t xml:space="preserve">Bezoekers ≥ drempel prioriteit: opnemen en bestsellers direct overnemen.</t>
  </si>
  <si>
    <t xml:space="preserve">  Monitoren</t>
  </si>
  <si>
    <t xml:space="preserve">Tussen de twee drempels: opnemen en volgende maand opnieuw checken.</t>
  </si>
  <si>
    <t xml:space="preserve">  Onder drempel</t>
  </si>
  <si>
    <t xml:space="preserve">Minder bezoekers dan de monitor-drempel.</t>
  </si>
  <si>
    <t xml:space="preserve">  Geen SW-cijfer</t>
  </si>
  <si>
    <t xml:space="preserve">SimilarWeb toont geen bezoekersaantal (meestal &lt; ~10K per maand).</t>
  </si>
  <si>
    <t xml:space="preserve">  Referentie</t>
  </si>
  <si>
    <t xml:space="preserve">Match-score onder het minimum: groot, maar ander model (bijv. eigen merk).</t>
  </si>
  <si>
    <t xml:space="preserve">Match-score</t>
  </si>
  <si>
    <t xml:space="preserve">1–5: hoe sterk de store op onze stores lijkt (Shopify, prijzen op ,95, lange SEO-titels, breed D&amp;H-assortiment, veel paid search).</t>
  </si>
  <si>
    <t xml:space="preserve">Aandeel betaald zoekverkeer volgens SimilarWeb; hoog = vooral Google Shopping/Ads.</t>
  </si>
  <si>
    <t xml:space="preserve">Trend</t>
  </si>
  <si>
    <t xml:space="preserve">Verandering in bezoekers t.o.v. de maand ervoor. Groen = ≥ +25%, rood = ≤ −25%.</t>
  </si>
  <si>
    <t xml:space="preserve">Stores die vermoedelijk van dezelfde eigenaar zijn (zelfde thema, catalogus of naam).</t>
  </si>
  <si>
    <t xml:space="preserve">Gele invulcel (nee / ja / deels): zelf bijhouden.</t>
  </si>
  <si>
    <t xml:space="preserve">Bron</t>
  </si>
  <si>
    <t xml:space="preserve">SimilarWeb-websitepagina's (schatting), Tranco-ranglijst, Shopify /products.json van de stores zelf.</t>
  </si>
  <si>
    <t xml:space="preserve">Bijwerken</t>
  </si>
  <si>
    <t xml:space="preserve">Vraag Claude: 'stuur de competitor sheet' of 'voeg nieuwe competitors toe voor &lt;land&gt;'.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</si>
</sst>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"/>
    <numFmt numFmtId="167" formatCode="#,##0;\-#,##0;\-"/>
    <numFmt numFmtId="168" formatCode="\+0%;\-0%;0%"/>
    <numFmt numFmtId="169" formatCode="0%"/>
    <numFmt numFmtId="170" formatCode="yyyy\-mm\-dd"/>
    <numFmt numFmtId="171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A44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1F5FB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1F2A44"/>
        <bgColor rgb="FF003366"/>
      </patternFill>
    </fill>
    <fill>
      <patternFill patternType="solid">
        <fgColor rgb="FFC6EFCE"/>
        <bgColor rgb="FFD9DDE3"/>
      </patternFill>
    </fill>
    <fill>
      <patternFill patternType="solid">
        <fgColor rgb="FFFFEB9C"/>
        <bgColor rgb="FFFFF2CC"/>
      </patternFill>
    </fill>
    <fill>
      <patternFill patternType="solid">
        <fgColor rgb="FFDDEBF7"/>
        <bgColor rgb="FFD9DDE3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DE3"/>
      </bottom>
      <diagonal/>
    </border>
    <border diagonalUp="false" diagonalDown="false">
      <left/>
      <right/>
      <top style="thin">
        <color rgb="FF1F2A44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1">
    <dxf>
      <fill>
        <patternFill patternType="solid">
          <fgColor rgb="FF1F2A4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F5FB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1F4E78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7F60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595959"/>
      </font>
      <fill>
        <patternFill>
          <bgColor rgb="FFF2F2F2"/>
        </patternFill>
      </fill>
    </dxf>
    <dxf>
      <font>
        <name val="Arial"/>
        <charset val="1"/>
        <family val="0"/>
        <b val="1"/>
        <color rgb="FF1F4E78"/>
      </font>
      <fill>
        <patternFill>
          <bgColor rgb="FFDDEBF7"/>
        </patternFill>
      </fill>
    </dxf>
    <dxf>
      <font>
        <name val="Arial"/>
        <charset val="1"/>
        <family val="0"/>
        <b val="1"/>
        <color rgb="FF006100"/>
      </font>
    </dxf>
    <dxf>
      <font>
        <name val="Arial"/>
        <charset val="1"/>
        <family val="0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7F6000"/>
      <rgbColor rgb="FF800080"/>
      <rgbColor rgb="FF008080"/>
      <rgbColor rgb="FFBFBFBF"/>
      <rgbColor rgb="FF595959"/>
      <rgbColor rgb="FF8EA9DB"/>
      <rgbColor rgb="FF993366"/>
      <rgbColor rgb="FFFFF2CC"/>
      <rgbColor rgb="FFDDEBF7"/>
      <rgbColor rgb="FF660066"/>
      <rgbColor rgb="FFFF8080"/>
      <rgbColor rgb="FF1F5FBF"/>
      <rgbColor rgb="FFD9DD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A9D08E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Competitor_Research.xlsx" TargetMode="External"/><Relationship Id="rId2" Type="http://schemas.openxmlformats.org/officeDocument/2006/relationships/hyperlink" Target="Competitor_Research.xlsx" TargetMode="External"/><Relationship Id="rId3" Type="http://schemas.openxmlformats.org/officeDocument/2006/relationships/hyperlink" Target="Competitor_Research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drune.de/" TargetMode="External"/><Relationship Id="rId2" Type="http://schemas.openxmlformats.org/officeDocument/2006/relationships/hyperlink" Target="https://karlson-berlin.com/" TargetMode="External"/><Relationship Id="rId3" Type="http://schemas.openxmlformats.org/officeDocument/2006/relationships/hyperlink" Target="https://nordheim-mode.de/" TargetMode="External"/><Relationship Id="rId4" Type="http://schemas.openxmlformats.org/officeDocument/2006/relationships/hyperlink" Target="https://leonboutique.co/" TargetMode="External"/><Relationship Id="rId5" Type="http://schemas.openxmlformats.org/officeDocument/2006/relationships/hyperlink" Target="https://lozendafashion.com/" TargetMode="External"/><Relationship Id="rId6" Type="http://schemas.openxmlformats.org/officeDocument/2006/relationships/hyperlink" Target="https://sassyclassy.de/" TargetMode="External"/><Relationship Id="rId7" Type="http://schemas.openxmlformats.org/officeDocument/2006/relationships/hyperlink" Target="https://risora-shop.de/" TargetMode="External"/><Relationship Id="rId8" Type="http://schemas.openxmlformats.org/officeDocument/2006/relationships/hyperlink" Target="https://velareehhaus.com/" TargetMode="External"/><Relationship Id="rId9" Type="http://schemas.openxmlformats.org/officeDocument/2006/relationships/hyperlink" Target="https://nordspur.de/" TargetMode="External"/><Relationship Id="rId10" Type="http://schemas.openxmlformats.org/officeDocument/2006/relationships/hyperlink" Target="https://falkenberg-mode.de/" TargetMode="External"/><Relationship Id="rId11" Type="http://schemas.openxmlformats.org/officeDocument/2006/relationships/hyperlink" Target="https://alpenkindmode.com/" TargetMode="External"/><Relationship Id="rId12" Type="http://schemas.openxmlformats.org/officeDocument/2006/relationships/hyperlink" Target="https://ladypolitan.de/" TargetMode="External"/><Relationship Id="rId13" Type="http://schemas.openxmlformats.org/officeDocument/2006/relationships/hyperlink" Target="https://walther-mode.com/" TargetMode="External"/><Relationship Id="rId14" Type="http://schemas.openxmlformats.org/officeDocument/2006/relationships/hyperlink" Target="https://nicole-modehaus.de/" TargetMode="External"/><Relationship Id="rId15" Type="http://schemas.openxmlformats.org/officeDocument/2006/relationships/hyperlink" Target="https://cecilelavelle.com/" TargetMode="External"/><Relationship Id="rId16" Type="http://schemas.openxmlformats.org/officeDocument/2006/relationships/hyperlink" Target="https://althausmode.com/" TargetMode="External"/><Relationship Id="rId17" Type="http://schemas.openxmlformats.org/officeDocument/2006/relationships/hyperlink" Target="https://annoboutique.com/" TargetMode="External"/><Relationship Id="rId18" Type="http://schemas.openxmlformats.org/officeDocument/2006/relationships/hyperlink" Target="https://bellarosamode.com/" TargetMode="External"/><Relationship Id="rId19" Type="http://schemas.openxmlformats.org/officeDocument/2006/relationships/hyperlink" Target="https://berlinlook.com/" TargetMode="External"/><Relationship Id="rId20" Type="http://schemas.openxmlformats.org/officeDocument/2006/relationships/hyperlink" Target="https://berlinsprime.de/" TargetMode="External"/><Relationship Id="rId21" Type="http://schemas.openxmlformats.org/officeDocument/2006/relationships/hyperlink" Target="https://chaps-herrenmode.de/" TargetMode="External"/><Relationship Id="rId22" Type="http://schemas.openxmlformats.org/officeDocument/2006/relationships/hyperlink" Target="https://fabrikstil.de/" TargetMode="External"/><Relationship Id="rId23" Type="http://schemas.openxmlformats.org/officeDocument/2006/relationships/hyperlink" Target="https://falkenhof-mode.de/" TargetMode="External"/><Relationship Id="rId24" Type="http://schemas.openxmlformats.org/officeDocument/2006/relationships/hyperlink" Target="https://herrmann-modehaus.de/" TargetMode="External"/><Relationship Id="rId25" Type="http://schemas.openxmlformats.org/officeDocument/2006/relationships/hyperlink" Target="https://kaufmannmode.de/" TargetMode="External"/><Relationship Id="rId26" Type="http://schemas.openxmlformats.org/officeDocument/2006/relationships/hyperlink" Target="https://kiezstudio.com/" TargetMode="External"/><Relationship Id="rId27" Type="http://schemas.openxmlformats.org/officeDocument/2006/relationships/hyperlink" Target="https://leipzigmodehausshop.de/" TargetMode="External"/><Relationship Id="rId28" Type="http://schemas.openxmlformats.org/officeDocument/2006/relationships/hyperlink" Target="https://mathilde-munchen.de/" TargetMode="External"/><Relationship Id="rId29" Type="http://schemas.openxmlformats.org/officeDocument/2006/relationships/hyperlink" Target="https://modehaushartmann.de/" TargetMode="External"/><Relationship Id="rId30" Type="http://schemas.openxmlformats.org/officeDocument/2006/relationships/hyperlink" Target="https://modemuller.de/" TargetMode="External"/><Relationship Id="rId31" Type="http://schemas.openxmlformats.org/officeDocument/2006/relationships/hyperlink" Target="https://nina-nicole.de/" TargetMode="External"/><Relationship Id="rId32" Type="http://schemas.openxmlformats.org/officeDocument/2006/relationships/hyperlink" Target="https://nordmodehaus.com/" TargetMode="External"/><Relationship Id="rId33" Type="http://schemas.openxmlformats.org/officeDocument/2006/relationships/hyperlink" Target="https://orthoday.de/" TargetMode="External"/><Relationship Id="rId34" Type="http://schemas.openxmlformats.org/officeDocument/2006/relationships/hyperlink" Target="https://sophia-zurich.com/" TargetMode="External"/><Relationship Id="rId35" Type="http://schemas.openxmlformats.org/officeDocument/2006/relationships/hyperlink" Target="https://stefanberlin.com/" TargetMode="External"/><Relationship Id="rId36" Type="http://schemas.openxmlformats.org/officeDocument/2006/relationships/hyperlink" Target="https://wittenwald.de/" TargetMode="External"/><Relationship Id="rId37" Type="http://schemas.openxmlformats.org/officeDocument/2006/relationships/hyperlink" Target="https://moreau-lyon.fr/" TargetMode="External"/><Relationship Id="rId38" Type="http://schemas.openxmlformats.org/officeDocument/2006/relationships/hyperlink" Target="https://lumiereboutique.fr/" TargetMode="External"/><Relationship Id="rId39" Type="http://schemas.openxmlformats.org/officeDocument/2006/relationships/hyperlink" Target="https://laurentmonaco.fr/" TargetMode="External"/><Relationship Id="rId40" Type="http://schemas.openxmlformats.org/officeDocument/2006/relationships/hyperlink" Target="https://lookdeparis.com/" TargetMode="External"/><Relationship Id="rId41" Type="http://schemas.openxmlformats.org/officeDocument/2006/relationships/hyperlink" Target="https://armandetfils.fr/" TargetMode="External"/><Relationship Id="rId42" Type="http://schemas.openxmlformats.org/officeDocument/2006/relationships/hyperlink" Target="https://boutique-paris.fr/" TargetMode="External"/><Relationship Id="rId43" Type="http://schemas.openxmlformats.org/officeDocument/2006/relationships/hyperlink" Target="https://cettesaison.fr/" TargetMode="External"/><Relationship Id="rId44" Type="http://schemas.openxmlformats.org/officeDocument/2006/relationships/hyperlink" Target="https://maisonvillard.fr/" TargetMode="External"/><Relationship Id="rId45" Type="http://schemas.openxmlformats.org/officeDocument/2006/relationships/hyperlink" Target="https://parisane.fr/" TargetMode="External"/><Relationship Id="rId46" Type="http://schemas.openxmlformats.org/officeDocument/2006/relationships/hyperlink" Target="https://dolce-paris.com/" TargetMode="External"/><Relationship Id="rId47" Type="http://schemas.openxmlformats.org/officeDocument/2006/relationships/hyperlink" Target="https://laurence-boutique.fr/" TargetMode="External"/><Relationship Id="rId48" Type="http://schemas.openxmlformats.org/officeDocument/2006/relationships/hyperlink" Target="https://jetta.fr/" TargetMode="External"/><Relationship Id="rId49" Type="http://schemas.openxmlformats.org/officeDocument/2006/relationships/hyperlink" Target="https://boutique-elegance-bordeaux.fr/" TargetMode="External"/><Relationship Id="rId50" Type="http://schemas.openxmlformats.org/officeDocument/2006/relationships/hyperlink" Target="https://frilivin.fr/" TargetMode="External"/><Relationship Id="rId51" Type="http://schemas.openxmlformats.org/officeDocument/2006/relationships/hyperlink" Target="https://evienne.fr/" TargetMode="External"/><Relationship Id="rId52" Type="http://schemas.openxmlformats.org/officeDocument/2006/relationships/hyperlink" Target="https://pinkboutique.co.uk/" TargetMode="External"/><Relationship Id="rId53" Type="http://schemas.openxmlformats.org/officeDocument/2006/relationships/hyperlink" Target="https://wilson-and-carter.com/" TargetMode="External"/><Relationship Id="rId54" Type="http://schemas.openxmlformats.org/officeDocument/2006/relationships/hyperlink" Target="https://wentworthlondon.com/" TargetMode="External"/><Relationship Id="rId55" Type="http://schemas.openxmlformats.org/officeDocument/2006/relationships/hyperlink" Target="https://femmeluxe.co.uk/" TargetMode="External"/><Relationship Id="rId56" Type="http://schemas.openxmlformats.org/officeDocument/2006/relationships/hyperlink" Target="https://chapslondon.co.uk/" TargetMode="External"/><Relationship Id="rId57" Type="http://schemas.openxmlformats.org/officeDocument/2006/relationships/hyperlink" Target="https://londonward.co/" TargetMode="External"/><Relationship Id="rId58" Type="http://schemas.openxmlformats.org/officeDocument/2006/relationships/hyperlink" Target="https://mayfairandfinch.co.uk/" TargetMode="External"/><Relationship Id="rId59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drune.de/" TargetMode="External"/><Relationship Id="rId2" Type="http://schemas.openxmlformats.org/officeDocument/2006/relationships/hyperlink" Target="https://karlson-berlin.com/" TargetMode="External"/><Relationship Id="rId3" Type="http://schemas.openxmlformats.org/officeDocument/2006/relationships/hyperlink" Target="https://nordheim-mode.de/" TargetMode="External"/><Relationship Id="rId4" Type="http://schemas.openxmlformats.org/officeDocument/2006/relationships/hyperlink" Target="https://leonboutique.co/" TargetMode="External"/><Relationship Id="rId5" Type="http://schemas.openxmlformats.org/officeDocument/2006/relationships/hyperlink" Target="https://lozendafashion.com/" TargetMode="External"/><Relationship Id="rId6" Type="http://schemas.openxmlformats.org/officeDocument/2006/relationships/hyperlink" Target="https://sassyclassy.de/" TargetMode="External"/><Relationship Id="rId7" Type="http://schemas.openxmlformats.org/officeDocument/2006/relationships/hyperlink" Target="https://risora-shop.de/" TargetMode="External"/><Relationship Id="rId8" Type="http://schemas.openxmlformats.org/officeDocument/2006/relationships/hyperlink" Target="https://velareehhaus.com/" TargetMode="External"/><Relationship Id="rId9" Type="http://schemas.openxmlformats.org/officeDocument/2006/relationships/hyperlink" Target="https://nordspur.de/" TargetMode="External"/><Relationship Id="rId10" Type="http://schemas.openxmlformats.org/officeDocument/2006/relationships/hyperlink" Target="https://falkenberg-mode.de/" TargetMode="External"/><Relationship Id="rId11" Type="http://schemas.openxmlformats.org/officeDocument/2006/relationships/hyperlink" Target="https://alpenkindmode.com/" TargetMode="External"/><Relationship Id="rId12" Type="http://schemas.openxmlformats.org/officeDocument/2006/relationships/hyperlink" Target="https://ladypolitan.de/" TargetMode="External"/><Relationship Id="rId13" Type="http://schemas.openxmlformats.org/officeDocument/2006/relationships/hyperlink" Target="https://walther-mode.com/" TargetMode="External"/><Relationship Id="rId14" Type="http://schemas.openxmlformats.org/officeDocument/2006/relationships/hyperlink" Target="https://nicole-modehaus.de/" TargetMode="External"/><Relationship Id="rId15" Type="http://schemas.openxmlformats.org/officeDocument/2006/relationships/hyperlink" Target="https://cecilelavelle.com/" TargetMode="External"/><Relationship Id="rId16" Type="http://schemas.openxmlformats.org/officeDocument/2006/relationships/hyperlink" Target="https://althausmode.com/" TargetMode="External"/><Relationship Id="rId17" Type="http://schemas.openxmlformats.org/officeDocument/2006/relationships/hyperlink" Target="https://annoboutique.com/" TargetMode="External"/><Relationship Id="rId18" Type="http://schemas.openxmlformats.org/officeDocument/2006/relationships/hyperlink" Target="https://bellarosamode.com/" TargetMode="External"/><Relationship Id="rId19" Type="http://schemas.openxmlformats.org/officeDocument/2006/relationships/hyperlink" Target="https://berlinlook.com/" TargetMode="External"/><Relationship Id="rId20" Type="http://schemas.openxmlformats.org/officeDocument/2006/relationships/hyperlink" Target="https://berlinsprime.de/" TargetMode="External"/><Relationship Id="rId21" Type="http://schemas.openxmlformats.org/officeDocument/2006/relationships/hyperlink" Target="https://chaps-herrenmode.de/" TargetMode="External"/><Relationship Id="rId22" Type="http://schemas.openxmlformats.org/officeDocument/2006/relationships/hyperlink" Target="https://fabrikstil.de/" TargetMode="External"/><Relationship Id="rId23" Type="http://schemas.openxmlformats.org/officeDocument/2006/relationships/hyperlink" Target="https://falkenhof-mode.de/" TargetMode="External"/><Relationship Id="rId24" Type="http://schemas.openxmlformats.org/officeDocument/2006/relationships/hyperlink" Target="https://herrmann-modehaus.de/" TargetMode="External"/><Relationship Id="rId25" Type="http://schemas.openxmlformats.org/officeDocument/2006/relationships/hyperlink" Target="https://kaufmannmode.de/" TargetMode="External"/><Relationship Id="rId26" Type="http://schemas.openxmlformats.org/officeDocument/2006/relationships/hyperlink" Target="https://kiezstudio.com/" TargetMode="External"/><Relationship Id="rId27" Type="http://schemas.openxmlformats.org/officeDocument/2006/relationships/hyperlink" Target="https://leipzigmodehausshop.de/" TargetMode="External"/><Relationship Id="rId28" Type="http://schemas.openxmlformats.org/officeDocument/2006/relationships/hyperlink" Target="https://mathilde-munchen.de/" TargetMode="External"/><Relationship Id="rId29" Type="http://schemas.openxmlformats.org/officeDocument/2006/relationships/hyperlink" Target="https://modehaushartmann.de/" TargetMode="External"/><Relationship Id="rId30" Type="http://schemas.openxmlformats.org/officeDocument/2006/relationships/hyperlink" Target="https://modemuller.de/" TargetMode="External"/><Relationship Id="rId31" Type="http://schemas.openxmlformats.org/officeDocument/2006/relationships/hyperlink" Target="https://nina-nicole.de/" TargetMode="External"/><Relationship Id="rId32" Type="http://schemas.openxmlformats.org/officeDocument/2006/relationships/hyperlink" Target="https://nordmodehaus.com/" TargetMode="External"/><Relationship Id="rId33" Type="http://schemas.openxmlformats.org/officeDocument/2006/relationships/hyperlink" Target="https://orthoday.de/" TargetMode="External"/><Relationship Id="rId34" Type="http://schemas.openxmlformats.org/officeDocument/2006/relationships/hyperlink" Target="https://sophia-zurich.com/" TargetMode="External"/><Relationship Id="rId35" Type="http://schemas.openxmlformats.org/officeDocument/2006/relationships/hyperlink" Target="https://stefanberlin.com/" TargetMode="External"/><Relationship Id="rId36" Type="http://schemas.openxmlformats.org/officeDocument/2006/relationships/hyperlink" Target="https://wittenwald.de/" TargetMode="External"/><Relationship Id="rId37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moreau-lyon.fr/" TargetMode="External"/><Relationship Id="rId2" Type="http://schemas.openxmlformats.org/officeDocument/2006/relationships/hyperlink" Target="https://lumiereboutique.fr/" TargetMode="External"/><Relationship Id="rId3" Type="http://schemas.openxmlformats.org/officeDocument/2006/relationships/hyperlink" Target="https://laurentmonaco.fr/" TargetMode="External"/><Relationship Id="rId4" Type="http://schemas.openxmlformats.org/officeDocument/2006/relationships/hyperlink" Target="https://lookdeparis.com/" TargetMode="External"/><Relationship Id="rId5" Type="http://schemas.openxmlformats.org/officeDocument/2006/relationships/hyperlink" Target="https://armandetfils.fr/" TargetMode="External"/><Relationship Id="rId6" Type="http://schemas.openxmlformats.org/officeDocument/2006/relationships/hyperlink" Target="https://boutique-paris.fr/" TargetMode="External"/><Relationship Id="rId7" Type="http://schemas.openxmlformats.org/officeDocument/2006/relationships/hyperlink" Target="https://cettesaison.fr/" TargetMode="External"/><Relationship Id="rId8" Type="http://schemas.openxmlformats.org/officeDocument/2006/relationships/hyperlink" Target="https://maisonvillard.fr/" TargetMode="External"/><Relationship Id="rId9" Type="http://schemas.openxmlformats.org/officeDocument/2006/relationships/hyperlink" Target="https://parisane.fr/" TargetMode="External"/><Relationship Id="rId10" Type="http://schemas.openxmlformats.org/officeDocument/2006/relationships/hyperlink" Target="https://dolce-paris.com/" TargetMode="External"/><Relationship Id="rId11" Type="http://schemas.openxmlformats.org/officeDocument/2006/relationships/hyperlink" Target="https://laurence-boutique.fr/" TargetMode="External"/><Relationship Id="rId12" Type="http://schemas.openxmlformats.org/officeDocument/2006/relationships/hyperlink" Target="https://jetta.fr/" TargetMode="External"/><Relationship Id="rId13" Type="http://schemas.openxmlformats.org/officeDocument/2006/relationships/hyperlink" Target="https://boutique-elegance-bordeaux.fr/" TargetMode="External"/><Relationship Id="rId14" Type="http://schemas.openxmlformats.org/officeDocument/2006/relationships/hyperlink" Target="https://frilivin.fr/" TargetMode="External"/><Relationship Id="rId15" Type="http://schemas.openxmlformats.org/officeDocument/2006/relationships/hyperlink" Target="https://evienne.fr/" TargetMode="External"/><Relationship Id="rId16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pinkboutique.co.uk/" TargetMode="External"/><Relationship Id="rId2" Type="http://schemas.openxmlformats.org/officeDocument/2006/relationships/hyperlink" Target="https://wilson-and-carter.com/" TargetMode="External"/><Relationship Id="rId3" Type="http://schemas.openxmlformats.org/officeDocument/2006/relationships/hyperlink" Target="https://wentworthlondon.com/" TargetMode="External"/><Relationship Id="rId4" Type="http://schemas.openxmlformats.org/officeDocument/2006/relationships/hyperlink" Target="https://femmeluxe.co.uk/" TargetMode="External"/><Relationship Id="rId5" Type="http://schemas.openxmlformats.org/officeDocument/2006/relationships/hyperlink" Target="https://chapslondon.co.uk/" TargetMode="External"/><Relationship Id="rId6" Type="http://schemas.openxmlformats.org/officeDocument/2006/relationships/hyperlink" Target="https://londonward.co/" TargetMode="External"/><Relationship Id="rId7" Type="http://schemas.openxmlformats.org/officeDocument/2006/relationships/hyperlink" Target="https://mayfairandfinch.co.uk/" TargetMode="External"/><Relationship Id="rId8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drune.de/products/wolff-elegante-seidenbluse-fur-damen" TargetMode="External"/><Relationship Id="rId2" Type="http://schemas.openxmlformats.org/officeDocument/2006/relationships/hyperlink" Target="https://drune.de/products/wolff-herren-rollkragenpullover-aus-hochwertigem-material" TargetMode="External"/><Relationship Id="rId3" Type="http://schemas.openxmlformats.org/officeDocument/2006/relationships/hyperlink" Target="https://drune.de/products/wolff-gepolsterte-jacke-fur-herren" TargetMode="External"/><Relationship Id="rId4" Type="http://schemas.openxmlformats.org/officeDocument/2006/relationships/hyperlink" Target="https://drune.de/products/wolff-dehnbare-knitterfreie-bluse" TargetMode="External"/><Relationship Id="rId5" Type="http://schemas.openxmlformats.org/officeDocument/2006/relationships/hyperlink" Target="https://drune.de/products/wolff-karim-hoody-bequemer-kapuzenpulli" TargetMode="External"/><Relationship Id="rId6" Type="http://schemas.openxmlformats.org/officeDocument/2006/relationships/hyperlink" Target="https://drune.de/products/wolff-leder-cowboy-stiefel-fur-damen" TargetMode="External"/><Relationship Id="rId7" Type="http://schemas.openxmlformats.org/officeDocument/2006/relationships/hyperlink" Target="https://drune.de/products/wolff-oliver-winterweste-aus-kordsamt" TargetMode="External"/><Relationship Id="rId8" Type="http://schemas.openxmlformats.org/officeDocument/2006/relationships/hyperlink" Target="https://drune.de/products/wolff-gepolsterte-cord-samt-jacke-stil-komfort-fur-damen" TargetMode="External"/><Relationship Id="rId9" Type="http://schemas.openxmlformats.org/officeDocument/2006/relationships/hyperlink" Target="https://drune.de/products/wolff-stylish-ladies-dress-for-every-occasion-elegance-and-comfort-combined" TargetMode="External"/><Relationship Id="rId10" Type="http://schemas.openxmlformats.org/officeDocument/2006/relationships/hyperlink" Target="https://drune.de/products/wolff-frau-business-anzug-eleganz-fr-jedes-meeting" TargetMode="External"/><Relationship Id="rId11" Type="http://schemas.openxmlformats.org/officeDocument/2006/relationships/hyperlink" Target="https://nordheim-mode.de/products/isla-baumwollkleid" TargetMode="External"/><Relationship Id="rId12" Type="http://schemas.openxmlformats.org/officeDocument/2006/relationships/hyperlink" Target="https://nordheim-mode.de/products/sophie-elegantes-blumenkleid-fur-den-sommer" TargetMode="External"/><Relationship Id="rId13" Type="http://schemas.openxmlformats.org/officeDocument/2006/relationships/hyperlink" Target="https://nordheim-mode.de/products/eva-dein-selbstbewusster-bauch-weg-bikini" TargetMode="External"/><Relationship Id="rId14" Type="http://schemas.openxmlformats.org/officeDocument/2006/relationships/hyperlink" Target="https://nordheim-mode.de/products/martina-bikini-kariert-mit-drahtfreiem-bh-und-hochgeschnittener-unterhose" TargetMode="External"/><Relationship Id="rId15" Type="http://schemas.openxmlformats.org/officeDocument/2006/relationships/hyperlink" Target="https://nordheim-mode.de/products/rosa-orthopadische-leder-mokassins" TargetMode="External"/><Relationship Id="rId16" Type="http://schemas.openxmlformats.org/officeDocument/2006/relationships/hyperlink" Target="https://nordheim-mode.de/products/sela-kustenblumen-midi-kleid" TargetMode="External"/><Relationship Id="rId17" Type="http://schemas.openxmlformats.org/officeDocument/2006/relationships/hyperlink" Target="https://nordheim-mode.de/products/langford-sommer-sandalen" TargetMode="External"/><Relationship Id="rId18" Type="http://schemas.openxmlformats.org/officeDocument/2006/relationships/hyperlink" Target="https://nordheim-mode.de/products/chic-schichtkleid-mit-puffarmeln-fur-frauen" TargetMode="External"/><Relationship Id="rId19" Type="http://schemas.openxmlformats.org/officeDocument/2006/relationships/hyperlink" Target="https://nordheim-mode.de/products/rocio-vielseitiger-verstellbarer-schnallen-jeansoverall" TargetMode="External"/><Relationship Id="rId20" Type="http://schemas.openxmlformats.org/officeDocument/2006/relationships/hyperlink" Target="https://karlson-berlin.com/products/wilson" TargetMode="External"/><Relationship Id="rId21" Type="http://schemas.openxmlformats.org/officeDocument/2006/relationships/hyperlink" Target="https://karlson-berlin.com/products/cassie" TargetMode="External"/><Relationship Id="rId22" Type="http://schemas.openxmlformats.org/officeDocument/2006/relationships/hyperlink" Target="https://karlson-berlin.com/products/franco" TargetMode="External"/><Relationship Id="rId23" Type="http://schemas.openxmlformats.org/officeDocument/2006/relationships/hyperlink" Target="https://karlson-berlin.com/products/calixto" TargetMode="External"/><Relationship Id="rId24" Type="http://schemas.openxmlformats.org/officeDocument/2006/relationships/hyperlink" Target="https://karlson-berlin.com/products/cristof" TargetMode="External"/><Relationship Id="rId25" Type="http://schemas.openxmlformats.org/officeDocument/2006/relationships/hyperlink" Target="https://karlson-berlin.com/products/lynda" TargetMode="External"/><Relationship Id="rId26" Type="http://schemas.openxmlformats.org/officeDocument/2006/relationships/hyperlink" Target="https://karlson-berlin.com/products/juniper" TargetMode="External"/><Relationship Id="rId27" Type="http://schemas.openxmlformats.org/officeDocument/2006/relationships/hyperlink" Target="https://karlson-berlin.com/products/marga" TargetMode="External"/><Relationship Id="rId28" Type="http://schemas.openxmlformats.org/officeDocument/2006/relationships/hyperlink" Target="https://karlson-berlin.com/products/rebecca-elegantes-maxikleid" TargetMode="External"/><Relationship Id="rId29" Type="http://schemas.openxmlformats.org/officeDocument/2006/relationships/hyperlink" Target="https://karlson-berlin.com/products/monica" TargetMode="External"/><Relationship Id="rId30" Type="http://schemas.openxmlformats.org/officeDocument/2006/relationships/hyperlink" Target="https://alpenkindmode.com/products/damen-traditionelles-dirndlkleid-mit-spitzenbluse-und-schnurmieder" TargetMode="External"/><Relationship Id="rId31" Type="http://schemas.openxmlformats.org/officeDocument/2006/relationships/hyperlink" Target="https://alpenkindmode.com/products/herren-shorts-mit-rippenstruktur-und-aufgesetzten-taschen" TargetMode="External"/><Relationship Id="rId32" Type="http://schemas.openxmlformats.org/officeDocument/2006/relationships/hyperlink" Target="https://alpenkindmode.com/products/langarm-leinenhemd-mit-knopfleiste-fuer-herren" TargetMode="External"/><Relationship Id="rId33" Type="http://schemas.openxmlformats.org/officeDocument/2006/relationships/hyperlink" Target="https://alpenkindmode.com/products/damen-traditionelles-midi-dirndl-mit-schurze" TargetMode="External"/><Relationship Id="rId34" Type="http://schemas.openxmlformats.org/officeDocument/2006/relationships/hyperlink" Target="https://alpenkindmode.com/products/herren-leinenhemd-kurzarm-stehkragen" TargetMode="External"/><Relationship Id="rId35" Type="http://schemas.openxmlformats.org/officeDocument/2006/relationships/hyperlink" Target="https://alpenkindmode.com/products/herren-leinenhose-mit-kordelzug" TargetMode="External"/><Relationship Id="rId36" Type="http://schemas.openxmlformats.org/officeDocument/2006/relationships/hyperlink" Target="https://alpenkindmode.com/products/herren-cord-shorts-kordelzug" TargetMode="External"/><Relationship Id="rId37" Type="http://schemas.openxmlformats.org/officeDocument/2006/relationships/hyperlink" Target="https://alpenkindmode.com/products/herren-kurzarm-oberteil-mit-drei-knopf-leiste" TargetMode="External"/><Relationship Id="rId38" Type="http://schemas.openxmlformats.org/officeDocument/2006/relationships/hyperlink" Target="https://alpenkindmode.com/products/herrenhemd-mit-knopfleiste-und-langen-armeln" TargetMode="External"/><Relationship Id="rId39" Type="http://schemas.openxmlformats.org/officeDocument/2006/relationships/hyperlink" Target="https://alpenkindmode.com/products/herren-dreiteiliger-anzug-set-mit-sakko-weste-und-hose" TargetMode="External"/><Relationship Id="rId40" Type="http://schemas.openxmlformats.org/officeDocument/2006/relationships/hyperlink" Target="https://lozendafashion.com/products/lace-up-sneakers-herren-rutschfest-komfortabler-halt" TargetMode="External"/><Relationship Id="rId41" Type="http://schemas.openxmlformats.org/officeDocument/2006/relationships/hyperlink" Target="https://lozendafashion.com/products/winterjacke-damen-feste-kapuze-windschutz" TargetMode="External"/><Relationship Id="rId42" Type="http://schemas.openxmlformats.org/officeDocument/2006/relationships/hyperlink" Target="https://lozendafashion.com/products/trainingsanzug-herren-set-kapuze-gerade-passform" TargetMode="External"/><Relationship Id="rId43" Type="http://schemas.openxmlformats.org/officeDocument/2006/relationships/hyperlink" Target="https://lozendafashion.com/products/sportanzug-herren-hoodie-mit-reissverschluss-komplettes-2-teile-set" TargetMode="External"/><Relationship Id="rId44" Type="http://schemas.openxmlformats.org/officeDocument/2006/relationships/hyperlink" Target="https://lozendafashion.com/products/poloshirt-herren-slim-fit-modern" TargetMode="External"/><Relationship Id="rId45" Type="http://schemas.openxmlformats.org/officeDocument/2006/relationships/hyperlink" Target="https://lozendafashion.com/products/sommersandalen-damen-bequem-sportlich" TargetMode="External"/><Relationship Id="rId46" Type="http://schemas.openxmlformats.org/officeDocument/2006/relationships/hyperlink" Target="https://lozendafashion.com/products/damen-winterjacke-doppellagiges-design-elegante-passform-atmungsaktiv-warm" TargetMode="External"/><Relationship Id="rId47" Type="http://schemas.openxmlformats.org/officeDocument/2006/relationships/hyperlink" Target="https://lozendafashion.com/products/jogginganzug-damen-2-teiliges-set-elastikbund-komfort" TargetMode="External"/><Relationship Id="rId48" Type="http://schemas.openxmlformats.org/officeDocument/2006/relationships/hyperlink" Target="https://lozendafashion.com/products/langarmliges-maxikleid-muhelose-eleganz-fur-jeden-anlass" TargetMode="External"/><Relationship Id="rId49" Type="http://schemas.openxmlformats.org/officeDocument/2006/relationships/hyperlink" Target="https://lozendafashion.com/products/sommerkleid-mit-blumen-damen-luftig-figurumspielend" TargetMode="External"/><Relationship Id="rId50" Type="http://schemas.openxmlformats.org/officeDocument/2006/relationships/hyperlink" Target="https://sassyclassy.de/products/musselin-bluse-oversize-hellbeige" TargetMode="External"/><Relationship Id="rId51" Type="http://schemas.openxmlformats.org/officeDocument/2006/relationships/hyperlink" Target="https://sassyclassy.de/products/thermo-leggings-schwarz-2" TargetMode="External"/><Relationship Id="rId52" Type="http://schemas.openxmlformats.org/officeDocument/2006/relationships/hyperlink" Target="https://sassyclassy.de/products/musselin-bluse-oversize-kurz-hellbeige" TargetMode="External"/><Relationship Id="rId53" Type="http://schemas.openxmlformats.org/officeDocument/2006/relationships/hyperlink" Target="https://sassyclassy.de/products/musselin-bluse-oversize-weiss" TargetMode="External"/><Relationship Id="rId54" Type="http://schemas.openxmlformats.org/officeDocument/2006/relationships/hyperlink" Target="https://sassyclassy.de/products/musselin-bluse-oversize-schwarz" TargetMode="External"/><Relationship Id="rId55" Type="http://schemas.openxmlformats.org/officeDocument/2006/relationships/hyperlink" Target="https://sassyclassy.de/products/musselin-bluse-oversize-kurz-weiss" TargetMode="External"/><Relationship Id="rId56" Type="http://schemas.openxmlformats.org/officeDocument/2006/relationships/hyperlink" Target="https://sassyclassy.de/products/musselin-bluse-oversize-kurz-taupe" TargetMode="External"/><Relationship Id="rId57" Type="http://schemas.openxmlformats.org/officeDocument/2006/relationships/hyperlink" Target="https://sassyclassy.de/products/mesh-langarmshirt-mit-leo-print-braun-1" TargetMode="External"/><Relationship Id="rId58" Type="http://schemas.openxmlformats.org/officeDocument/2006/relationships/hyperlink" Target="https://sassyclassy.de/products/musselin-bluse-oversize-kurz-schwarz" TargetMode="External"/><Relationship Id="rId59" Type="http://schemas.openxmlformats.org/officeDocument/2006/relationships/hyperlink" Target="https://sassyclassy.de/products/musselin-bluse-oversize-kurz-salbeigrun" TargetMode="External"/><Relationship Id="rId60" Type="http://schemas.openxmlformats.org/officeDocument/2006/relationships/hyperlink" Target="https://velareehhaus.com/products/damen-maxikleid-mit-korsettoberteil-und-breiten-schultertragern" TargetMode="External"/><Relationship Id="rId61" Type="http://schemas.openxmlformats.org/officeDocument/2006/relationships/hyperlink" Target="https://velareehhaus.com/products/damen-maxikleid-mit-spaghettitragern-drapiertem-ausschnitt-und-seitlichem-schlitz" TargetMode="External"/><Relationship Id="rId62" Type="http://schemas.openxmlformats.org/officeDocument/2006/relationships/hyperlink" Target="https://velareehhaus.com/products/damen-bodenlanges-kleid-mit-v-ausschnitt-spaghettitragern-und-paillettenbesatz" TargetMode="External"/><Relationship Id="rId63" Type="http://schemas.openxmlformats.org/officeDocument/2006/relationships/hyperlink" Target="https://velareehhaus.com/products/damen-maxikleid-mit-carre-dekollete-spaghettitragern-seitlicher-raffung-und-beinschlitz" TargetMode="External"/><Relationship Id="rId64" Type="http://schemas.openxmlformats.org/officeDocument/2006/relationships/hyperlink" Target="https://velareehhaus.com/products/damen-maxikleid-mit-spaghettitragern-und-gerafftem-ausschnitt-mit-bindeschleife" TargetMode="External"/><Relationship Id="rId65" Type="http://schemas.openxmlformats.org/officeDocument/2006/relationships/hyperlink" Target="https://velareehhaus.com/products/damen-armelloses-maxikleid-mit-nackenbindung-offenem-rucken-und-geraffter-taillenpartie" TargetMode="External"/><Relationship Id="rId66" Type="http://schemas.openxmlformats.org/officeDocument/2006/relationships/hyperlink" Target="https://velareehhaus.com/products/damen-midikleid-mit-bustier-oberteil-spaghettitragern-spitzenbesatz-am-ausschnitt-und-tellerrock-mit-seitentaschen" TargetMode="External"/><Relationship Id="rId67" Type="http://schemas.openxmlformats.org/officeDocument/2006/relationships/hyperlink" Target="https://velareehhaus.com/products/kenzo-herren-klassischer-low-top-sneaker" TargetMode="External"/><Relationship Id="rId68" Type="http://schemas.openxmlformats.org/officeDocument/2006/relationships/hyperlink" Target="https://velareehhaus.com/products/damen-gerafftes-minikleid-mit-karree-ausschnitt-und-breiten-tragern" TargetMode="External"/><Relationship Id="rId69" Type="http://schemas.openxmlformats.org/officeDocument/2006/relationships/hyperlink" Target="https://velareehhaus.com/products/damen-off-shoulder-maxikleid-mit-gerafftem-oberteil-und-halbtransparentem-rockteil" TargetMode="External"/><Relationship Id="rId70" Type="http://schemas.openxmlformats.org/officeDocument/2006/relationships/hyperlink" Target="https://falkenberg-mode.de/products/luxury-surplice-swimsuit-with-colorful-print" TargetMode="External"/><Relationship Id="rId71" Type="http://schemas.openxmlformats.org/officeDocument/2006/relationships/hyperlink" Target="https://falkenberg-mode.de/products/lyra-outfit-mit-drapierter-schleif" TargetMode="External"/><Relationship Id="rId72" Type="http://schemas.openxmlformats.org/officeDocument/2006/relationships/hyperlink" Target="https://falkenberg-mode.de/products/aikaterini-elegantes-rmelloses-baumwollkleid-mit-tasche" TargetMode="External"/><Relationship Id="rId73" Type="http://schemas.openxmlformats.org/officeDocument/2006/relationships/hyperlink" Target="https://falkenberg-mode.de/products/alina-swimsuit-with-double-straps" TargetMode="External"/><Relationship Id="rId74" Type="http://schemas.openxmlformats.org/officeDocument/2006/relationships/hyperlink" Target="https://falkenberg-mode.de/products/martina&#8482;-pullover-mit-hohem-kragen" TargetMode="External"/><Relationship Id="rId75" Type="http://schemas.openxmlformats.org/officeDocument/2006/relationships/hyperlink" Target="https://falkenberg-mode.de/products/shaharit-eleganter-gem-tlicher-strickjacke-mit-kn-pfe" TargetMode="External"/><Relationship Id="rId76" Type="http://schemas.openxmlformats.org/officeDocument/2006/relationships/hyperlink" Target="https://falkenberg-mode.de/products/alvin&#8482;-premium-casual-hemd" TargetMode="External"/><Relationship Id="rId77" Type="http://schemas.openxmlformats.org/officeDocument/2006/relationships/hyperlink" Target="https://falkenberg-mode.de/products/vintage-kleid-fur-damen-mit-blumenmuster-aus-baumwolle-und-leinen-mit-taschen" TargetMode="External"/><Relationship Id="rId78" Type="http://schemas.openxmlformats.org/officeDocument/2006/relationships/hyperlink" Target="https://falkenberg-mode.de/products/bikini-with-contrasting-floral-print-and-slit" TargetMode="External"/><Relationship Id="rId79" Type="http://schemas.openxmlformats.org/officeDocument/2006/relationships/hyperlink" Target="https://falkenberg-mode.de/products/bryony-locker-sitzender-pullover" TargetMode="External"/><Relationship Id="rId80" Type="http://schemas.openxmlformats.org/officeDocument/2006/relationships/hyperlink" Target="https://nordspur.de/products/versandschutz" TargetMode="External"/><Relationship Id="rId81" Type="http://schemas.openxmlformats.org/officeDocument/2006/relationships/hyperlink" Target="https://nordspur.de/products/winterstiefel-fur-damen-herren-wasserdicht-thermostride" TargetMode="External"/><Relationship Id="rId82" Type="http://schemas.openxmlformats.org/officeDocument/2006/relationships/hyperlink" Target="https://nordspur.de/products/wasserdichte-winterstiefel-damen-gefuttert-frosttrek-urban" TargetMode="External"/><Relationship Id="rId83" Type="http://schemas.openxmlformats.org/officeDocument/2006/relationships/hyperlink" Target="https://nordspur.de/products/fahrrad-handyhalterung-wasserdicht-mit-touchscreen-touchride-6-4" TargetMode="External"/><Relationship Id="rId84" Type="http://schemas.openxmlformats.org/officeDocument/2006/relationships/hyperlink" Target="https://nordspur.de/products/fahrradarmlinge-mit-uv-schutz-kuhlfunktion-iceguard-sleeves" TargetMode="External"/><Relationship Id="rId85" Type="http://schemas.openxmlformats.org/officeDocument/2006/relationships/hyperlink" Target="https://nordspur.de/products/freizeitjacke-mit-karomuster-abnehmbarer-kapuze-nordicflannel-jacke" TargetMode="External"/><Relationship Id="rId86" Type="http://schemas.openxmlformats.org/officeDocument/2006/relationships/hyperlink" Target="https://nordspur.de/products/komfortable-walking-schuhe-im-chelsea-design-bequeme-slip-on-boots-fur-damen-herren" TargetMode="External"/><Relationship Id="rId87" Type="http://schemas.openxmlformats.org/officeDocument/2006/relationships/hyperlink" Target="https://nordspur.de/products/cargo-jeansjacke-mit-mehrfach-taschen-robustem-design-urbantrail-jacket" TargetMode="External"/><Relationship Id="rId88" Type="http://schemas.openxmlformats.org/officeDocument/2006/relationships/hyperlink" Target="https://nordspur.de/products/wasserdichter-allwetter-mantel-mit-kapuze-fronttasche-stormshield-parka" TargetMode="External"/><Relationship Id="rId89" Type="http://schemas.openxmlformats.org/officeDocument/2006/relationships/hyperlink" Target="https://nordspur.de/products/pyjama-damen-einteiler-fleece-mit-reissverschluss-cozyluxe-onesie" TargetMode="External"/><Relationship Id="rId90" Type="http://schemas.openxmlformats.org/officeDocument/2006/relationships/hyperlink" Target="https://risora-shop.de/products/airflow-pure-3-in-1-kuhler-stilvoll-leise-und-gesund" TargetMode="External"/><Relationship Id="rId91" Type="http://schemas.openxmlformats.org/officeDocument/2006/relationships/hyperlink" Target="https://risora-shop.de/products/orthopadisches-hundebett-mit-kopfkissen-luxus-und-komfort" TargetMode="External"/><Relationship Id="rId92" Type="http://schemas.openxmlformats.org/officeDocument/2006/relationships/hyperlink" Target="https://risora-shop.de/products/magsafe-silikonhulle-ultimativer-schutz-und-eleganter-griff" TargetMode="External"/><Relationship Id="rId93" Type="http://schemas.openxmlformats.org/officeDocument/2006/relationships/hyperlink" Target="https://risora-shop.de/products/design-deckenventilator-mit-led-flusterleise-komfort-und-modernes-licht" TargetMode="External"/><Relationship Id="rId94" Type="http://schemas.openxmlformats.org/officeDocument/2006/relationships/hyperlink" Target="https://risora-shop.de/products/airflow-pure-3-in-1-kuhler-stilvoll-leise-und-gesund-copy" TargetMode="External"/><Relationship Id="rId95" Type="http://schemas.openxmlformats.org/officeDocument/2006/relationships/hyperlink" Target="https://risora-shop.de/products/randlose-quadratische-brille-fur-herren-eleganz-und-komfort-in-einem" TargetMode="External"/><Relationship Id="rId96" Type="http://schemas.openxmlformats.org/officeDocument/2006/relationships/hyperlink" Target="https://risora-shop.de/products/roachstop-gel-schnell-und-sicher-kakerlaken-bekampfen" TargetMode="External"/><Relationship Id="rId97" Type="http://schemas.openxmlformats.org/officeDocument/2006/relationships/hyperlink" Target="https://risora-shop.de/products/leichte-sicherheitsschuhe-fur-herren-atmungsaktiv-mit-stahlkappenschutz" TargetMode="External"/><Relationship Id="rId98" Type="http://schemas.openxmlformats.org/officeDocument/2006/relationships/hyperlink" Target="https://risora-shop.de/products/wiederaufladbare-kabellose-led-lampe-wasserdicht-dimmbar" TargetMode="External"/><Relationship Id="rId99" Type="http://schemas.openxmlformats.org/officeDocument/2006/relationships/hyperlink" Target="https://risora-shop.de/products/unisex-fahrradschuhe-mit-drehverschluss-leicht-und-komfortabel" TargetMode="External"/><Relationship Id="rId100" Type="http://schemas.openxmlformats.org/officeDocument/2006/relationships/hyperlink" Target="https://moreau-lyon.fr/products/moreau-lyon-sandales-chic-ajustables-pour-femmes" TargetMode="External"/><Relationship Id="rId101" Type="http://schemas.openxmlformats.org/officeDocument/2006/relationships/hyperlink" Target="https://moreau-lyon.fr/products/moreau-lyon-robe-midi-dete-pour-femmes" TargetMode="External"/><Relationship Id="rId102" Type="http://schemas.openxmlformats.org/officeDocument/2006/relationships/hyperlink" Target="https://moreau-lyon.fr/products/moreau-lyon-robe-bohemienne-chic-et-fluide-pour-femmes" TargetMode="External"/><Relationship Id="rId103" Type="http://schemas.openxmlformats.org/officeDocument/2006/relationships/hyperlink" Target="https://moreau-lyon.fr/products/moreau-lyon-maillot-de-bain-amincissant-pour-femmes" TargetMode="External"/><Relationship Id="rId104" Type="http://schemas.openxmlformats.org/officeDocument/2006/relationships/hyperlink" Target="https://moreau-lyon.fr/products/moreau-lyon-robe-midi-en-lin-floral-ancien-pour-femmes" TargetMode="External"/><Relationship Id="rId105" Type="http://schemas.openxmlformats.org/officeDocument/2006/relationships/hyperlink" Target="https://moreau-lyon.fr/products/moreau-lyon-maillot-de-bain-elegant-pour-femmes" TargetMode="External"/><Relationship Id="rId106" Type="http://schemas.openxmlformats.org/officeDocument/2006/relationships/hyperlink" Target="https://moreau-lyon.fr/products/moreau-lyon-robe-midi-fleurie-elegante-pour-femmes" TargetMode="External"/><Relationship Id="rId107" Type="http://schemas.openxmlformats.org/officeDocument/2006/relationships/hyperlink" Target="https://moreau-lyon.fr/products/moreau-lyon-ensemble-en-lin-en-trois-pieces-pour-femmes" TargetMode="External"/><Relationship Id="rId108" Type="http://schemas.openxmlformats.org/officeDocument/2006/relationships/hyperlink" Target="https://moreau-lyon.fr/products/moreau-lyon-robe-brodee-pour-femme" TargetMode="External"/><Relationship Id="rId109" Type="http://schemas.openxmlformats.org/officeDocument/2006/relationships/hyperlink" Target="https://moreau-lyon.fr/products/moreau-lyon-robe-midi-elegante-chic-pour-femmes" TargetMode="External"/><Relationship Id="rId110" Type="http://schemas.openxmlformats.org/officeDocument/2006/relationships/hyperlink" Target="https://lumiereboutique.fr/products/robe-femme-coton-col-v-coupe-fluide-style-decontracte-elegant" TargetMode="External"/><Relationship Id="rId111" Type="http://schemas.openxmlformats.org/officeDocument/2006/relationships/hyperlink" Target="https://lumiereboutique.fr/products/combinaison-femme-elegante-decollete-v-coupe-fluide-jambes-larges" TargetMode="External"/><Relationship Id="rId112" Type="http://schemas.openxmlformats.org/officeDocument/2006/relationships/hyperlink" Target="https://lumiereboutique.fr/products/sandales-plates-pour-femmes-au-style-estival-et-elegant" TargetMode="External"/><Relationship Id="rId113" Type="http://schemas.openxmlformats.org/officeDocument/2006/relationships/hyperlink" Target="https://lumiereboutique.fr/products/robe-femme-coton-lin-boutonnee-manches-volantees-style-estival" TargetMode="External"/><Relationship Id="rId114" Type="http://schemas.openxmlformats.org/officeDocument/2006/relationships/hyperlink" Target="https://lumiereboutique.fr/products/robe-chemise-midi-femme-lin-coton-boutonnee-elegante" TargetMode="External"/><Relationship Id="rId115" Type="http://schemas.openxmlformats.org/officeDocument/2006/relationships/hyperlink" Target="https://lumiereboutique.fr/products/nanon&#8482;-baskets-de-sport-orthopediques" TargetMode="External"/><Relationship Id="rId116" Type="http://schemas.openxmlformats.org/officeDocument/2006/relationships/hyperlink" Target="https://lumiereboutique.fr/products/robe-femme-longue-boheme-lin-coton-coupe-fluide-elegante" TargetMode="External"/><Relationship Id="rId117" Type="http://schemas.openxmlformats.org/officeDocument/2006/relationships/hyperlink" Target="https://lumiereboutique.fr/products/robe-femme-coton-lin-boutonnee-manches-3-4-coupe-ample-elegante" TargetMode="External"/><Relationship Id="rId118" Type="http://schemas.openxmlformats.org/officeDocument/2006/relationships/hyperlink" Target="https://lumiereboutique.fr/products/robe-femme-midi-sans-manches-a-encolure-haute-et-fente-elegante-ete" TargetMode="External"/><Relationship Id="rId119" Type="http://schemas.openxmlformats.org/officeDocument/2006/relationships/hyperlink" Target="https://lumiereboutique.fr/products/delvarina" TargetMode="External"/><Relationship Id="rId120" Type="http://schemas.openxmlformats.org/officeDocument/2006/relationships/hyperlink" Target="https://laurentmonaco.fr/products/laurent-monaco-manteau-deux-pieces" TargetMode="External"/><Relationship Id="rId121" Type="http://schemas.openxmlformats.org/officeDocument/2006/relationships/hyperlink" Target="https://laurentmonaco.fr/products/laurent-monaco-chaussures-ergonomiques-orthopediques" TargetMode="External"/><Relationship Id="rId122" Type="http://schemas.openxmlformats.org/officeDocument/2006/relationships/hyperlink" Target="https://laurentmonaco.fr/products/laurent-monaco-pantalons-pour-hommes-a-coupe-confortable" TargetMode="External"/><Relationship Id="rId123" Type="http://schemas.openxmlformats.org/officeDocument/2006/relationships/hyperlink" Target="https://laurentmonaco.fr/products/laurent-monaco-polo-de-luxe-a-manches-longues-1" TargetMode="External"/><Relationship Id="rId124" Type="http://schemas.openxmlformats.org/officeDocument/2006/relationships/hyperlink" Target="https://laurentmonaco.fr/products/laurent-monaco-manteau-dhiver" TargetMode="External"/><Relationship Id="rId125" Type="http://schemas.openxmlformats.org/officeDocument/2006/relationships/hyperlink" Target="https://laurentmonaco.fr/products/laurent-monaco-chemise-artisanale" TargetMode="External"/><Relationship Id="rId126" Type="http://schemas.openxmlformats.org/officeDocument/2006/relationships/hyperlink" Target="https://laurentmonaco.fr/products/laurent-monaco-pull-en-pur-cachemire" TargetMode="External"/><Relationship Id="rId127" Type="http://schemas.openxmlformats.org/officeDocument/2006/relationships/hyperlink" Target="https://laurentmonaco.fr/products/laurent-monaco-chemise-de-luxe-avec-capuche-3" TargetMode="External"/><Relationship Id="rId128" Type="http://schemas.openxmlformats.org/officeDocument/2006/relationships/hyperlink" Target="https://laurentmonaco.fr/products/laurent-monaco-boxer-en-coton-biologique-pour-homme" TargetMode="External"/><Relationship Id="rId129" Type="http://schemas.openxmlformats.org/officeDocument/2006/relationships/hyperlink" Target="https://laurentmonaco.fr/products/laurent-monaco-veste-pour-homme-de-luxe" TargetMode="External"/><Relationship Id="rId130" Type="http://schemas.openxmlformats.org/officeDocument/2006/relationships/hyperlink" Target="https://lookdeparis.com/products/arthur-veste-matelasse-homme" TargetMode="External"/><Relationship Id="rId131" Type="http://schemas.openxmlformats.org/officeDocument/2006/relationships/hyperlink" Target="https://lookdeparis.com/products/pierre-homme-pull-thermique-tricote" TargetMode="External"/><Relationship Id="rId132" Type="http://schemas.openxmlformats.org/officeDocument/2006/relationships/hyperlink" Target="https://lookdeparis.com/products/antoine-chemise-en-lin-decontractee" TargetMode="External"/><Relationship Id="rId133" Type="http://schemas.openxmlformats.org/officeDocument/2006/relationships/hyperlink" Target="https://lookdeparis.com/products/maya-sweat-a-capuche-femme-au-design-moderne" TargetMode="External"/><Relationship Id="rId134" Type="http://schemas.openxmlformats.org/officeDocument/2006/relationships/hyperlink" Target="https://lookdeparis.com/products/odile-cardigan-chat-automne-femme" TargetMode="External"/><Relationship Id="rId135" Type="http://schemas.openxmlformats.org/officeDocument/2006/relationships/hyperlink" Target="https://lookdeparis.com/products/gabrielle-cachemire-maille-femme" TargetMode="External"/><Relationship Id="rId136" Type="http://schemas.openxmlformats.org/officeDocument/2006/relationships/hyperlink" Target="https://lookdeparis.com/products/debardeur-homme-cotele-en-coton-slim-fit-rocco" TargetMode="External"/><Relationship Id="rId137" Type="http://schemas.openxmlformats.org/officeDocument/2006/relationships/hyperlink" Target="https://lookdeparis.com/products/hugo-doudoune-homme-legere" TargetMode="External"/><Relationship Id="rId138" Type="http://schemas.openxmlformats.org/officeDocument/2006/relationships/hyperlink" Target="https://armandetfils.fr/products/bermuda-cargo-homme" TargetMode="External"/><Relationship Id="rId139" Type="http://schemas.openxmlformats.org/officeDocument/2006/relationships/hyperlink" Target="https://armandetfils.fr/products/short-de-bain-raye-a-cordon" TargetMode="External"/><Relationship Id="rId140" Type="http://schemas.openxmlformats.org/officeDocument/2006/relationships/hyperlink" Target="https://armandetfils.fr/products/mules-homme-a-enfiler" TargetMode="External"/><Relationship Id="rId141" Type="http://schemas.openxmlformats.org/officeDocument/2006/relationships/hyperlink" Target="https://armandetfils.fr/products/mocassins-homme-a-empeigne-unie" TargetMode="External"/><Relationship Id="rId142" Type="http://schemas.openxmlformats.org/officeDocument/2006/relationships/hyperlink" Target="https://armandetfils.fr/products/derbies-homme-a-oeillets" TargetMode="External"/><Relationship Id="rId143" Type="http://schemas.openxmlformats.org/officeDocument/2006/relationships/hyperlink" Target="https://armandetfils.fr/products/baskets-homme-maille-a-lacets" TargetMode="External"/><Relationship Id="rId144" Type="http://schemas.openxmlformats.org/officeDocument/2006/relationships/hyperlink" Target="https://armandetfils.fr/products/derbies-homme-a-lacets" TargetMode="External"/><Relationship Id="rId145" Type="http://schemas.openxmlformats.org/officeDocument/2006/relationships/hyperlink" Target="https://armandetfils.fr/products/sandales-homme-bout-ferme" TargetMode="External"/><Relationship Id="rId146" Type="http://schemas.openxmlformats.org/officeDocument/2006/relationships/hyperlink" Target="https://armandetfils.fr/products/mocassins-homme-bandeau" TargetMode="External"/><Relationship Id="rId147" Type="http://schemas.openxmlformats.org/officeDocument/2006/relationships/hyperlink" Target="https://armandetfils.fr/products/pantalon-homme-pinces" TargetMode="External"/><Relationship Id="rId148" Type="http://schemas.openxmlformats.org/officeDocument/2006/relationships/hyperlink" Target="https://wilson-and-carter.com/products/marjorie" TargetMode="External"/><Relationship Id="rId149" Type="http://schemas.openxmlformats.org/officeDocument/2006/relationships/hyperlink" Target="https://wilson-and-carter.com/products/arabella-midi-dress" TargetMode="External"/><Relationship Id="rId150" Type="http://schemas.openxmlformats.org/officeDocument/2006/relationships/hyperlink" Target="https://wilson-and-carter.com/products/mandy-button-dress" TargetMode="External"/><Relationship Id="rId151" Type="http://schemas.openxmlformats.org/officeDocument/2006/relationships/hyperlink" Target="https://wilson-and-carter.com/products/spencer-shirt" TargetMode="External"/><Relationship Id="rId152" Type="http://schemas.openxmlformats.org/officeDocument/2006/relationships/hyperlink" Target="https://wilson-and-carter.com/products/oliver-shorts" TargetMode="External"/><Relationship Id="rId153" Type="http://schemas.openxmlformats.org/officeDocument/2006/relationships/hyperlink" Target="https://wilson-and-carter.com/products/maurice-everyday-trousers" TargetMode="External"/><Relationship Id="rId154" Type="http://schemas.openxmlformats.org/officeDocument/2006/relationships/hyperlink" Target="https://wilson-and-carter.com/products/callum-shorts" TargetMode="External"/><Relationship Id="rId155" Type="http://schemas.openxmlformats.org/officeDocument/2006/relationships/hyperlink" Target="https://wilson-and-carter.com/products/nathalie-dress" TargetMode="External"/><Relationship Id="rId156" Type="http://schemas.openxmlformats.org/officeDocument/2006/relationships/hyperlink" Target="https://wilson-and-carter.com/products/genevieve" TargetMode="External"/><Relationship Id="rId157" Type="http://schemas.openxmlformats.org/officeDocument/2006/relationships/hyperlink" Target="https://wilson-and-carter.com/products/garrick-shirt" TargetMode="External"/><Relationship Id="rId158" Type="http://schemas.openxmlformats.org/officeDocument/2006/relationships/hyperlink" Target="https://wentworthlondon.com/products/vintage-cargo-shorts-for-men" TargetMode="External"/><Relationship Id="rId159" Type="http://schemas.openxmlformats.org/officeDocument/2006/relationships/hyperlink" Target="https://wentworthlondon.com/products/textured-polo-shirt-for-men" TargetMode="External"/><Relationship Id="rId160" Type="http://schemas.openxmlformats.org/officeDocument/2006/relationships/hyperlink" Target="https://wentworthlondon.com/products/utility-cargo-shorts-for-men" TargetMode="External"/><Relationship Id="rId161" Type="http://schemas.openxmlformats.org/officeDocument/2006/relationships/hyperlink" Target="https://wentworthlondon.com/products/linen-polo-shirt-for-men" TargetMode="External"/><Relationship Id="rId162" Type="http://schemas.openxmlformats.org/officeDocument/2006/relationships/hyperlink" Target="https://wentworthlondon.com/products/quick-dry-swim-shorts-for-men" TargetMode="External"/><Relationship Id="rId163" Type="http://schemas.openxmlformats.org/officeDocument/2006/relationships/hyperlink" Target="https://wentworthlondon.com/products/orthopedic-walking-shoes-for-men" TargetMode="External"/><Relationship Id="rId164" Type="http://schemas.openxmlformats.org/officeDocument/2006/relationships/hyperlink" Target="https://wentworthlondon.com/products/drawstring-summer-shorts-for-men" TargetMode="External"/><Relationship Id="rId165" Type="http://schemas.openxmlformats.org/officeDocument/2006/relationships/hyperlink" Target="https://wentworthlondon.com/products/relaxed-fit-shorts-for-men" TargetMode="External"/><Relationship Id="rId166" Type="http://schemas.openxmlformats.org/officeDocument/2006/relationships/hyperlink" Target="https://wentworthlondon.com/products/leather-sneakers-for-men" TargetMode="External"/><Relationship Id="rId167" Type="http://schemas.openxmlformats.org/officeDocument/2006/relationships/hyperlink" Target="https://wentworthlondon.com/products/linen-blazer-jacket-for-men" TargetMode="External"/><Relationship Id="rId168" Type="http://schemas.openxmlformats.org/officeDocument/2006/relationships/hyperlink" Target="https://mayfairandfinch.co.uk/products/relaxed-linen-summer-midi-dress-with-hollow-out-detail-and-flared-sleeves" TargetMode="External"/><Relationship Id="rId169" Type="http://schemas.openxmlformats.org/officeDocument/2006/relationships/hyperlink" Target="https://mayfairandfinch.co.uk/products/bohemian-lace-trim-blouse-with-swiss-dot-texture-and-v-neckline" TargetMode="External"/><Relationship Id="rId170" Type="http://schemas.openxmlformats.org/officeDocument/2006/relationships/hyperlink" Target="https://mayfairandfinch.co.uk/products/relaxed-linen-shorts-with-elastic-waist-and-side-pockets" TargetMode="External"/><Relationship Id="rId171" Type="http://schemas.openxmlformats.org/officeDocument/2006/relationships/hyperlink" Target="https://mayfairandfinch.co.uk/products/relaxed-linen-trousers-with-drawstring-waist-and-straight-leg" TargetMode="External"/><Relationship Id="rId172" Type="http://schemas.openxmlformats.org/officeDocument/2006/relationships/hyperlink" Target="https://mayfairandfinch.co.uk/products/relaxed-linen-blouse-with-v-neckline-and-ruffle-sleeves" TargetMode="External"/><Relationship Id="rId173" Type="http://schemas.openxmlformats.org/officeDocument/2006/relationships/hyperlink" Target="https://mayfairandfinch.co.uk/products/soft-knit-cardigan-with-button-front-and-round-neckline" TargetMode="External"/><Relationship Id="rId174" Type="http://schemas.openxmlformats.org/officeDocument/2006/relationships/hyperlink" Target="https://mayfairandfinch.co.uk/products/floral-patchwork-print-sleeveless-midi-dress-with-round-neck" TargetMode="External"/><Relationship Id="rId175" Type="http://schemas.openxmlformats.org/officeDocument/2006/relationships/hyperlink" Target="https://mayfairandfinch.co.uk/products/relaxed-linen-blouse-with-v-neckline-and-single-button" TargetMode="External"/><Relationship Id="rId176" Type="http://schemas.openxmlformats.org/officeDocument/2006/relationships/hyperlink" Target="https://mayfairandfinch.co.uk/products/elegant-mauve-chiffon-maxi-dress-with-lace-trim-and-satin-waist-belt" TargetMode="External"/><Relationship Id="rId177" Type="http://schemas.openxmlformats.org/officeDocument/2006/relationships/hyperlink" Target="https://mayfairandfinch.co.uk/products/relaxed-linen-capri-pants-with-side-pockets" TargetMode="External"/><Relationship Id="rId178" Type="http://schemas.openxmlformats.org/officeDocument/2006/relationships/hyperlink" Target="https://chapslondon.co.uk/products/lauren-mens-luxury-summer-jacket" TargetMode="External"/><Relationship Id="rId179" Type="http://schemas.openxmlformats.org/officeDocument/2006/relationships/hyperlink" Target="https://chapslondon.co.uk/products/bamboo-lightweight-mens-underwear-perfect-for-summerspring" TargetMode="External"/><Relationship Id="rId180" Type="http://schemas.openxmlformats.org/officeDocument/2006/relationships/hyperlink" Target="https://chapslondon.co.uk/products/ice-cream-shirt-short-sleeve-button-up-polo-shirt-mens-shirts" TargetMode="External"/><Relationship Id="rId181" Type="http://schemas.openxmlformats.org/officeDocument/2006/relationships/hyperlink" Target="https://chapslondon.co.uk/products/overshirt-buttoned-chest-pockets-mens-shirt-shirt-jacket" TargetMode="External"/><Relationship Id="rId182" Type="http://schemas.openxmlformats.org/officeDocument/2006/relationships/hyperlink" Target="https://chapslondon.co.uk/products/flannel-jacket-mens-fleece-lined-plaid-overshirt-jacket-for-winter" TargetMode="External"/><Relationship Id="rId183" Type="http://schemas.openxmlformats.org/officeDocument/2006/relationships/hyperlink" Target="https://chapslondon.co.uk/products/zip-up-hoodie-comfy-cotton-ny-hoodie-mens-hoodie" TargetMode="External"/><Relationship Id="rId184" Type="http://schemas.openxmlformats.org/officeDocument/2006/relationships/hyperlink" Target="https://chapslondon.co.uk/products/linen-shirt-long-sleeve-lightweight-button-up-shirt-mens-shirts" TargetMode="External"/><Relationship Id="rId185" Type="http://schemas.openxmlformats.org/officeDocument/2006/relationships/hyperlink" Target="https://chapslondon.co.uk/products/shipping-protection" TargetMode="External"/><Relationship Id="rId186" Type="http://schemas.openxmlformats.org/officeDocument/2006/relationships/hyperlink" Target="https://chapslondon.co.uk/products/linen-shirt-cotton-half-button-mens-shirt-linen-clothing-for-men" TargetMode="External"/><Relationship Id="rId187" Type="http://schemas.openxmlformats.org/officeDocument/2006/relationships/hyperlink" Target="https://chapslondon.co.uk/products/knitted-sweater-patchwork-loose-fit-pullover-sweater-mens-knitted-jumper" TargetMode="External"/><Relationship Id="rId188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44"/>
    <pageSetUpPr fitToPage="true"/>
  </sheetPr>
  <dimension ref="A1:J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7" min="7" style="0" width="12"/>
    <col collapsed="false" customWidth="true" hidden="false" outlineLevel="0" max="10" min="8" style="0" width="18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D5" s="5" t="n">
        <v>75000</v>
      </c>
    </row>
    <row r="6" customFormat="false" ht="15" hidden="false" customHeight="false" outlineLevel="0" collapsed="false">
      <c r="A6" s="4" t="s">
        <v>4</v>
      </c>
      <c r="D6" s="5" t="n">
        <v>25000</v>
      </c>
    </row>
    <row r="7" customFormat="false" ht="15" hidden="false" customHeight="false" outlineLevel="0" collapsed="false">
      <c r="A7" s="4" t="s">
        <v>5</v>
      </c>
      <c r="D7" s="6" t="n">
        <v>3</v>
      </c>
    </row>
    <row r="10" customFormat="false" ht="30" hidden="false" customHeight="true" outlineLevel="0" collapsed="false">
      <c r="A10" s="7" t="s">
        <v>6</v>
      </c>
      <c r="B10" s="7" t="s">
        <v>7</v>
      </c>
      <c r="C10" s="7" t="s">
        <v>8</v>
      </c>
      <c r="D10" s="7" t="s">
        <v>9</v>
      </c>
      <c r="E10" s="7" t="s">
        <v>10</v>
      </c>
      <c r="F10" s="7" t="s">
        <v>11</v>
      </c>
      <c r="G10" s="7" t="s">
        <v>12</v>
      </c>
      <c r="H10" s="7" t="s">
        <v>13</v>
      </c>
      <c r="I10" s="7" t="s">
        <v>14</v>
      </c>
      <c r="J10" s="7" t="s">
        <v>15</v>
      </c>
    </row>
    <row r="11" customFormat="false" ht="15" hidden="false" customHeight="false" outlineLevel="0" collapsed="false">
      <c r="A11" s="8" t="s">
        <v>16</v>
      </c>
      <c r="B11" s="9" t="s">
        <v>17</v>
      </c>
      <c r="C11" s="9" t="n">
        <f aca="false">COUNTIFS('Alle competitors'!$A$5:$A$62,A11)</f>
        <v>36</v>
      </c>
      <c r="D11" s="9" t="n">
        <f aca="false">COUNTIFS('Alle competitors'!$A$5:$A$62,A11,'Alle competitors'!$F$5:$F$62,"Prioriteit")</f>
        <v>11</v>
      </c>
      <c r="E11" s="9" t="n">
        <f aca="false">COUNTIFS('Alle competitors'!$A$5:$A$62,A11,'Alle competitors'!$F$5:$F$62,"Monitoren")</f>
        <v>4</v>
      </c>
      <c r="F11" s="9" t="n">
        <f aca="false">COUNTIFS('Alle competitors'!$A$5:$A$62,A11,'Alle competitors'!$F$5:$F$62,"Onder drempel")+COUNTIFS('Alle competitors'!$A$5:$A$62,A11,'Alle competitors'!$F$5:$F$62,"Geen SW-cijfer")</f>
        <v>21</v>
      </c>
      <c r="G11" s="9" t="n">
        <f aca="false">COUNTIFS('Alle competitors'!$A$5:$A$62,A11,'Alle competitors'!$F$5:$F$62,"Referentie")</f>
        <v>0</v>
      </c>
      <c r="H11" s="10" t="n">
        <f aca="false">SUMIFS('Alle competitors'!$E$5:$E$62,'Alle competitors'!$A$5:$A$62,A11,'Alle competitors'!$F$5:$F$62,"Prioriteit")</f>
        <v>4076000</v>
      </c>
      <c r="I11" s="10" t="n">
        <f aca="false">_xlfn.MAXIFS('Alle competitors'!$E$5:$E$62,'Alle competitors'!$A$5:$A$62,A11,'Alle competitors'!$F$5:$F$62,"&lt;&gt;Referentie")</f>
        <v>1500000</v>
      </c>
      <c r="J11" s="10" t="n">
        <f aca="false">COUNTIFS('Alle competitors'!$A$5:$A$62,A11,'Alle competitors'!$F$5:$F$62,"Prioriteit",'Alle competitors'!$O$5:$O$62,"nee")</f>
        <v>11</v>
      </c>
    </row>
    <row r="12" customFormat="false" ht="15" hidden="false" customHeight="false" outlineLevel="0" collapsed="false">
      <c r="A12" s="8" t="s">
        <v>18</v>
      </c>
      <c r="B12" s="9" t="s">
        <v>19</v>
      </c>
      <c r="C12" s="9" t="n">
        <f aca="false">COUNTIFS('Alle competitors'!$A$5:$A$62,A12)</f>
        <v>15</v>
      </c>
      <c r="D12" s="9" t="n">
        <f aca="false">COUNTIFS('Alle competitors'!$A$5:$A$62,A12,'Alle competitors'!$F$5:$F$62,"Prioriteit")</f>
        <v>8</v>
      </c>
      <c r="E12" s="9" t="n">
        <f aca="false">COUNTIFS('Alle competitors'!$A$5:$A$62,A12,'Alle competitors'!$F$5:$F$62,"Monitoren")</f>
        <v>4</v>
      </c>
      <c r="F12" s="9" t="n">
        <f aca="false">COUNTIFS('Alle competitors'!$A$5:$A$62,A12,'Alle competitors'!$F$5:$F$62,"Onder drempel")+COUNTIFS('Alle competitors'!$A$5:$A$62,A12,'Alle competitors'!$F$5:$F$62,"Geen SW-cijfer")</f>
        <v>2</v>
      </c>
      <c r="G12" s="9" t="n">
        <f aca="false">COUNTIFS('Alle competitors'!$A$5:$A$62,A12,'Alle competitors'!$F$5:$F$62,"Referentie")</f>
        <v>1</v>
      </c>
      <c r="H12" s="10" t="n">
        <f aca="false">SUMIFS('Alle competitors'!$E$5:$E$62,'Alle competitors'!$A$5:$A$62,A12,'Alle competitors'!$F$5:$F$62,"Prioriteit")</f>
        <v>1739800</v>
      </c>
      <c r="I12" s="10" t="n">
        <f aca="false">_xlfn.MAXIFS('Alle competitors'!$E$5:$E$62,'Alle competitors'!$A$5:$A$62,A12,'Alle competitors'!$F$5:$F$62,"&lt;&gt;Referentie")</f>
        <v>426400</v>
      </c>
      <c r="J12" s="10" t="n">
        <f aca="false">COUNTIFS('Alle competitors'!$A$5:$A$62,A12,'Alle competitors'!$F$5:$F$62,"Prioriteit",'Alle competitors'!$O$5:$O$62,"nee")</f>
        <v>8</v>
      </c>
    </row>
    <row r="13" customFormat="false" ht="15" hidden="false" customHeight="false" outlineLevel="0" collapsed="false">
      <c r="A13" s="8" t="s">
        <v>20</v>
      </c>
      <c r="B13" s="9" t="s">
        <v>21</v>
      </c>
      <c r="C13" s="9" t="n">
        <f aca="false">COUNTIFS('Alle competitors'!$A$5:$A$62,A13)</f>
        <v>7</v>
      </c>
      <c r="D13" s="9" t="n">
        <f aca="false">COUNTIFS('Alle competitors'!$A$5:$A$62,A13,'Alle competitors'!$F$5:$F$62,"Prioriteit")</f>
        <v>2</v>
      </c>
      <c r="E13" s="9" t="n">
        <f aca="false">COUNTIFS('Alle competitors'!$A$5:$A$62,A13,'Alle competitors'!$F$5:$F$62,"Monitoren")</f>
        <v>0</v>
      </c>
      <c r="F13" s="9" t="n">
        <f aca="false">COUNTIFS('Alle competitors'!$A$5:$A$62,A13,'Alle competitors'!$F$5:$F$62,"Onder drempel")+COUNTIFS('Alle competitors'!$A$5:$A$62,A13,'Alle competitors'!$F$5:$F$62,"Geen SW-cijfer")</f>
        <v>3</v>
      </c>
      <c r="G13" s="9" t="n">
        <f aca="false">COUNTIFS('Alle competitors'!$A$5:$A$62,A13,'Alle competitors'!$F$5:$F$62,"Referentie")</f>
        <v>2</v>
      </c>
      <c r="H13" s="10" t="n">
        <f aca="false">SUMIFS('Alle competitors'!$E$5:$E$62,'Alle competitors'!$A$5:$A$62,A13,'Alle competitors'!$F$5:$F$62,"Prioriteit")</f>
        <v>287400</v>
      </c>
      <c r="I13" s="10" t="n">
        <f aca="false">_xlfn.MAXIFS('Alle competitors'!$E$5:$E$62,'Alle competitors'!$A$5:$A$62,A13,'Alle competitors'!$F$5:$F$62,"&lt;&gt;Referentie")</f>
        <v>200500</v>
      </c>
      <c r="J13" s="10" t="n">
        <f aca="false">COUNTIFS('Alle competitors'!$A$5:$A$62,A13,'Alle competitors'!$F$5:$F$62,"Prioriteit",'Alle competitors'!$O$5:$O$62,"nee")</f>
        <v>2</v>
      </c>
    </row>
    <row r="14" customFormat="false" ht="15" hidden="false" customHeight="false" outlineLevel="0" collapsed="false">
      <c r="A14" s="3" t="s">
        <v>22</v>
      </c>
      <c r="C14" s="11" t="n">
        <f aca="false">SUM(C11:C13)</f>
        <v>58</v>
      </c>
      <c r="D14" s="11" t="n">
        <f aca="false">SUM(D11:D13)</f>
        <v>21</v>
      </c>
      <c r="E14" s="11" t="n">
        <f aca="false">SUM(E11:E13)</f>
        <v>8</v>
      </c>
      <c r="F14" s="11" t="n">
        <f aca="false">SUM(F11:F13)</f>
        <v>26</v>
      </c>
      <c r="G14" s="11" t="n">
        <f aca="false">SUM(G11:G13)</f>
        <v>3</v>
      </c>
      <c r="H14" s="11" t="n">
        <f aca="false">SUM(H11:H13)</f>
        <v>6103200</v>
      </c>
      <c r="I14" s="11" t="n">
        <f aca="false">MAX(I11:I13)</f>
        <v>1500000</v>
      </c>
      <c r="J14" s="11" t="n">
        <f aca="false">SUM(J11:J13)</f>
        <v>21</v>
      </c>
    </row>
    <row r="16" customFormat="false" ht="15" hidden="false" customHeight="false" outlineLevel="0" collapsed="false">
      <c r="A16" s="2" t="s">
        <v>23</v>
      </c>
    </row>
  </sheetData>
  <hyperlinks>
    <hyperlink ref="A11" r:id="rId1" location="'DE'!A1" display="DE"/>
    <hyperlink ref="A12" r:id="rId2" location="'FR'!A1" display="FR"/>
    <hyperlink ref="A13" r:id="rId3" location="'UK'!A1" display="U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DB"/>
    <pageSetUpPr fitToPage="true"/>
  </sheetPr>
  <dimension ref="A1:P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4"/>
    <col collapsed="false" customWidth="true" hidden="false" outlineLevel="0" max="3" min="3" style="0" width="28"/>
    <col collapsed="false" customWidth="true" hidden="false" outlineLevel="0" max="4" min="4" style="0" width="30"/>
    <col collapsed="false" customWidth="true" hidden="false" outlineLevel="0" max="6" min="5" style="0" width="15"/>
    <col collapsed="false" customWidth="true" hidden="false" outlineLevel="0" max="7" min="7" style="0" width="14"/>
    <col collapsed="false" customWidth="true" hidden="false" outlineLevel="0" max="9" min="8" style="0" width="11"/>
    <col collapsed="false" customWidth="true" hidden="false" outlineLevel="0" max="10" min="10" style="0" width="26"/>
    <col collapsed="false" customWidth="true" hidden="false" outlineLevel="0" max="11" min="11" style="0" width="30"/>
    <col collapsed="false" customWidth="true" hidden="false" outlineLevel="0" max="12" min="12" style="0" width="20"/>
    <col collapsed="false" customWidth="true" hidden="false" outlineLevel="0" max="15" min="13" style="0" width="13"/>
    <col collapsed="false" customWidth="true" hidden="false" outlineLevel="0" max="16" min="16" style="0" width="60"/>
  </cols>
  <sheetData>
    <row r="1" customFormat="false" ht="19.7" hidden="false" customHeight="false" outlineLevel="0" collapsed="false">
      <c r="A1" s="1" t="s">
        <v>24</v>
      </c>
    </row>
    <row r="2" customFormat="false" ht="15" hidden="false" customHeight="false" outlineLevel="0" collapsed="false">
      <c r="A2" s="2" t="s">
        <v>25</v>
      </c>
    </row>
    <row r="4" customFormat="false" ht="30" hidden="false" customHeight="true" outlineLevel="0" collapsed="false">
      <c r="A4" s="7" t="s">
        <v>6</v>
      </c>
      <c r="B4" s="7" t="s">
        <v>26</v>
      </c>
      <c r="C4" s="7" t="s">
        <v>27</v>
      </c>
      <c r="D4" s="7" t="s">
        <v>28</v>
      </c>
      <c r="E4" s="7" t="s">
        <v>29</v>
      </c>
      <c r="F4" s="7" t="s">
        <v>30</v>
      </c>
      <c r="G4" s="7" t="s">
        <v>31</v>
      </c>
      <c r="H4" s="7" t="s">
        <v>32</v>
      </c>
      <c r="I4" s="7" t="s">
        <v>33</v>
      </c>
      <c r="J4" s="7" t="s">
        <v>34</v>
      </c>
      <c r="K4" s="7" t="s">
        <v>35</v>
      </c>
      <c r="L4" s="7" t="s">
        <v>36</v>
      </c>
      <c r="M4" s="7" t="s">
        <v>37</v>
      </c>
      <c r="N4" s="7" t="s">
        <v>38</v>
      </c>
      <c r="O4" s="7" t="s">
        <v>39</v>
      </c>
      <c r="P4" s="7" t="s">
        <v>40</v>
      </c>
    </row>
    <row r="5" customFormat="false" ht="23.85" hidden="false" customHeight="false" outlineLevel="0" collapsed="false">
      <c r="A5" s="12" t="s">
        <v>16</v>
      </c>
      <c r="B5" s="12" t="s">
        <v>41</v>
      </c>
      <c r="C5" s="13" t="s">
        <v>42</v>
      </c>
      <c r="D5" s="14" t="s">
        <v>43</v>
      </c>
      <c r="E5" s="15" t="n">
        <v>1500000</v>
      </c>
      <c r="F5" s="16" t="str">
        <f aca="false">IF(AND(H5&lt;&gt;"",H5&lt;Overzicht!$D$7),"Referentie",IF(E5="","Geen SW-cijfer",IF(E5&gt;=Overzicht!$D$5,"Prioriteit",IF(E5&gt;=Overzicht!$D$6,"Monitoren","Onder drempel"))))</f>
        <v>Prioriteit</v>
      </c>
      <c r="G5" s="17" t="n">
        <v>2.09</v>
      </c>
      <c r="H5" s="18" t="n">
        <v>4</v>
      </c>
      <c r="I5" s="19" t="n">
        <v>0.95</v>
      </c>
      <c r="J5" s="12" t="s">
        <v>44</v>
      </c>
      <c r="K5" s="14"/>
      <c r="L5" s="12" t="s">
        <v>45</v>
      </c>
      <c r="M5" s="20" t="n">
        <v>46292</v>
      </c>
      <c r="N5" s="20" t="n">
        <v>46292</v>
      </c>
      <c r="O5" s="21" t="s">
        <v>46</v>
      </c>
      <c r="P5" s="14" t="s">
        <v>47</v>
      </c>
    </row>
    <row r="6" customFormat="false" ht="15" hidden="false" customHeight="false" outlineLevel="0" collapsed="false">
      <c r="A6" s="12" t="s">
        <v>16</v>
      </c>
      <c r="B6" s="12" t="s">
        <v>48</v>
      </c>
      <c r="C6" s="13" t="s">
        <v>49</v>
      </c>
      <c r="D6" s="14" t="s">
        <v>50</v>
      </c>
      <c r="E6" s="15" t="n">
        <v>981100</v>
      </c>
      <c r="F6" s="16" t="str">
        <f aca="false">IF(AND(H6&lt;&gt;"",H6&lt;Overzicht!$D$7),"Referentie",IF(E6="","Geen SW-cijfer",IF(E6&gt;=Overzicht!$D$5,"Prioriteit",IF(E6&gt;=Overzicht!$D$6,"Monitoren","Onder drempel"))))</f>
        <v>Prioriteit</v>
      </c>
      <c r="G6" s="17" t="n">
        <v>1.81</v>
      </c>
      <c r="H6" s="18" t="n">
        <v>5</v>
      </c>
      <c r="I6" s="19" t="n">
        <v>0.4</v>
      </c>
      <c r="J6" s="12" t="s">
        <v>51</v>
      </c>
      <c r="K6" s="14"/>
      <c r="L6" s="12" t="s">
        <v>52</v>
      </c>
      <c r="M6" s="20" t="n">
        <v>46292</v>
      </c>
      <c r="N6" s="20" t="n">
        <v>46292</v>
      </c>
      <c r="O6" s="21" t="s">
        <v>46</v>
      </c>
      <c r="P6" s="14" t="s">
        <v>53</v>
      </c>
    </row>
    <row r="7" customFormat="false" ht="15" hidden="false" customHeight="false" outlineLevel="0" collapsed="false">
      <c r="A7" s="12" t="s">
        <v>16</v>
      </c>
      <c r="B7" s="12" t="s">
        <v>54</v>
      </c>
      <c r="C7" s="13" t="s">
        <v>55</v>
      </c>
      <c r="D7" s="14" t="s">
        <v>56</v>
      </c>
      <c r="E7" s="15" t="n">
        <v>545500</v>
      </c>
      <c r="F7" s="16" t="str">
        <f aca="false">IF(AND(H7&lt;&gt;"",H7&lt;Overzicht!$D$7),"Referentie",IF(E7="","Geen SW-cijfer",IF(E7&gt;=Overzicht!$D$5,"Prioriteit",IF(E7&gt;=Overzicht!$D$6,"Monitoren","Onder drempel"))))</f>
        <v>Prioriteit</v>
      </c>
      <c r="G7" s="17" t="n">
        <v>-0.05</v>
      </c>
      <c r="H7" s="18" t="n">
        <v>5</v>
      </c>
      <c r="I7" s="19" t="n">
        <v>0.87</v>
      </c>
      <c r="J7" s="12" t="s">
        <v>57</v>
      </c>
      <c r="K7" s="14"/>
      <c r="L7" s="12" t="s">
        <v>45</v>
      </c>
      <c r="M7" s="20" t="n">
        <v>46292</v>
      </c>
      <c r="N7" s="20" t="n">
        <v>46292</v>
      </c>
      <c r="O7" s="21" t="s">
        <v>46</v>
      </c>
      <c r="P7" s="14" t="s">
        <v>58</v>
      </c>
    </row>
    <row r="8" customFormat="false" ht="15" hidden="false" customHeight="false" outlineLevel="0" collapsed="false">
      <c r="A8" s="12" t="s">
        <v>16</v>
      </c>
      <c r="B8" s="12" t="s">
        <v>59</v>
      </c>
      <c r="C8" s="13" t="s">
        <v>60</v>
      </c>
      <c r="D8" s="14" t="s">
        <v>61</v>
      </c>
      <c r="E8" s="15" t="n">
        <v>242600</v>
      </c>
      <c r="F8" s="16" t="str">
        <f aca="false">IF(AND(H8&lt;&gt;"",H8&lt;Overzicht!$D$7),"Referentie",IF(E8="","Geen SW-cijfer",IF(E8&gt;=Overzicht!$D$5,"Prioriteit",IF(E8&gt;=Overzicht!$D$6,"Monitoren","Onder drempel"))))</f>
        <v>Prioriteit</v>
      </c>
      <c r="G8" s="17" t="n">
        <v>-0.2</v>
      </c>
      <c r="H8" s="18" t="n">
        <v>5</v>
      </c>
      <c r="I8" s="19" t="n">
        <v>0.78</v>
      </c>
      <c r="J8" s="12" t="s">
        <v>62</v>
      </c>
      <c r="K8" s="14"/>
      <c r="L8" s="12" t="s">
        <v>63</v>
      </c>
      <c r="M8" s="20" t="n">
        <v>46292</v>
      </c>
      <c r="N8" s="20" t="n">
        <v>46292</v>
      </c>
      <c r="O8" s="21" t="s">
        <v>46</v>
      </c>
      <c r="P8" s="14" t="s">
        <v>64</v>
      </c>
    </row>
    <row r="9" customFormat="false" ht="15" hidden="false" customHeight="false" outlineLevel="0" collapsed="false">
      <c r="A9" s="12" t="s">
        <v>16</v>
      </c>
      <c r="B9" s="12" t="s">
        <v>65</v>
      </c>
      <c r="C9" s="13" t="s">
        <v>66</v>
      </c>
      <c r="D9" s="14" t="s">
        <v>67</v>
      </c>
      <c r="E9" s="15" t="n">
        <v>192100</v>
      </c>
      <c r="F9" s="16" t="str">
        <f aca="false">IF(AND(H9&lt;&gt;"",H9&lt;Overzicht!$D$7),"Referentie",IF(E9="","Geen SW-cijfer",IF(E9&gt;=Overzicht!$D$5,"Prioriteit",IF(E9&gt;=Overzicht!$D$6,"Monitoren","Onder drempel"))))</f>
        <v>Prioriteit</v>
      </c>
      <c r="G9" s="17" t="n">
        <v>-0.26</v>
      </c>
      <c r="H9" s="18" t="n">
        <v>5</v>
      </c>
      <c r="I9" s="19" t="n">
        <v>0.82</v>
      </c>
      <c r="J9" s="12" t="s">
        <v>68</v>
      </c>
      <c r="K9" s="14"/>
      <c r="L9" s="12" t="s">
        <v>45</v>
      </c>
      <c r="M9" s="20" t="n">
        <v>46292</v>
      </c>
      <c r="N9" s="20" t="n">
        <v>46292</v>
      </c>
      <c r="O9" s="21" t="s">
        <v>46</v>
      </c>
      <c r="P9" s="14" t="s">
        <v>69</v>
      </c>
    </row>
    <row r="10" customFormat="false" ht="15" hidden="false" customHeight="false" outlineLevel="0" collapsed="false">
      <c r="A10" s="12" t="s">
        <v>16</v>
      </c>
      <c r="B10" s="12" t="s">
        <v>70</v>
      </c>
      <c r="C10" s="13" t="s">
        <v>71</v>
      </c>
      <c r="D10" s="14" t="s">
        <v>72</v>
      </c>
      <c r="E10" s="15" t="n">
        <v>148600</v>
      </c>
      <c r="F10" s="16" t="str">
        <f aca="false">IF(AND(H10&lt;&gt;"",H10&lt;Overzicht!$D$7),"Referentie",IF(E10="","Geen SW-cijfer",IF(E10&gt;=Overzicht!$D$5,"Prioriteit",IF(E10&gt;=Overzicht!$D$6,"Monitoren","Onder drempel"))))</f>
        <v>Prioriteit</v>
      </c>
      <c r="G10" s="17" t="n">
        <v>0.16</v>
      </c>
      <c r="H10" s="18" t="n">
        <v>3</v>
      </c>
      <c r="I10" s="19" t="n">
        <v>0.29</v>
      </c>
      <c r="J10" s="12" t="s">
        <v>73</v>
      </c>
      <c r="K10" s="14"/>
      <c r="L10" s="12" t="s">
        <v>45</v>
      </c>
      <c r="M10" s="20" t="n">
        <v>46292</v>
      </c>
      <c r="N10" s="20" t="n">
        <v>46292</v>
      </c>
      <c r="O10" s="21" t="s">
        <v>46</v>
      </c>
      <c r="P10" s="14" t="s">
        <v>74</v>
      </c>
    </row>
    <row r="11" customFormat="false" ht="15" hidden="false" customHeight="false" outlineLevel="0" collapsed="false">
      <c r="A11" s="12" t="s">
        <v>16</v>
      </c>
      <c r="B11" s="12" t="s">
        <v>75</v>
      </c>
      <c r="C11" s="13" t="s">
        <v>76</v>
      </c>
      <c r="D11" s="14" t="s">
        <v>77</v>
      </c>
      <c r="E11" s="15" t="n">
        <v>121300</v>
      </c>
      <c r="F11" s="16" t="str">
        <f aca="false">IF(AND(H11&lt;&gt;"",H11&lt;Overzicht!$D$7),"Referentie",IF(E11="","Geen SW-cijfer",IF(E11&gt;=Overzicht!$D$5,"Prioriteit",IF(E11&gt;=Overzicht!$D$6,"Monitoren","Onder drempel"))))</f>
        <v>Prioriteit</v>
      </c>
      <c r="G11" s="17" t="n">
        <v>0.06</v>
      </c>
      <c r="H11" s="18" t="n">
        <v>4</v>
      </c>
      <c r="I11" s="19" t="n">
        <v>0.88</v>
      </c>
      <c r="J11" s="12" t="s">
        <v>78</v>
      </c>
      <c r="K11" s="14"/>
      <c r="L11" s="12" t="s">
        <v>45</v>
      </c>
      <c r="M11" s="20" t="n">
        <v>46292</v>
      </c>
      <c r="N11" s="20" t="n">
        <v>46292</v>
      </c>
      <c r="O11" s="21" t="s">
        <v>46</v>
      </c>
      <c r="P11" s="14" t="s">
        <v>79</v>
      </c>
    </row>
    <row r="12" customFormat="false" ht="15" hidden="false" customHeight="false" outlineLevel="0" collapsed="false">
      <c r="A12" s="12" t="s">
        <v>16</v>
      </c>
      <c r="B12" s="12" t="s">
        <v>80</v>
      </c>
      <c r="C12" s="13" t="s">
        <v>81</v>
      </c>
      <c r="D12" s="14" t="s">
        <v>82</v>
      </c>
      <c r="E12" s="15" t="n">
        <v>95300</v>
      </c>
      <c r="F12" s="16" t="str">
        <f aca="false">IF(AND(H12&lt;&gt;"",H12&lt;Overzicht!$D$7),"Referentie",IF(E12="","Geen SW-cijfer",IF(E12&gt;=Overzicht!$D$5,"Prioriteit",IF(E12&gt;=Overzicht!$D$6,"Monitoren","Onder drempel"))))</f>
        <v>Prioriteit</v>
      </c>
      <c r="G12" s="17" t="n">
        <v>0.47</v>
      </c>
      <c r="H12" s="18" t="n">
        <v>5</v>
      </c>
      <c r="I12" s="19" t="n">
        <v>0.77</v>
      </c>
      <c r="J12" s="12" t="s">
        <v>83</v>
      </c>
      <c r="K12" s="14"/>
      <c r="L12" s="12" t="s">
        <v>45</v>
      </c>
      <c r="M12" s="20" t="n">
        <v>46292</v>
      </c>
      <c r="N12" s="20" t="n">
        <v>46292</v>
      </c>
      <c r="O12" s="21" t="s">
        <v>46</v>
      </c>
      <c r="P12" s="14" t="s">
        <v>84</v>
      </c>
    </row>
    <row r="13" customFormat="false" ht="15" hidden="false" customHeight="false" outlineLevel="0" collapsed="false">
      <c r="A13" s="12" t="s">
        <v>16</v>
      </c>
      <c r="B13" s="12" t="s">
        <v>85</v>
      </c>
      <c r="C13" s="13" t="s">
        <v>86</v>
      </c>
      <c r="D13" s="14" t="s">
        <v>87</v>
      </c>
      <c r="E13" s="15" t="n">
        <v>89000</v>
      </c>
      <c r="F13" s="16" t="str">
        <f aca="false">IF(AND(H13&lt;&gt;"",H13&lt;Overzicht!$D$7),"Referentie",IF(E13="","Geen SW-cijfer",IF(E13&gt;=Overzicht!$D$5,"Prioriteit",IF(E13&gt;=Overzicht!$D$6,"Monitoren","Onder drempel"))))</f>
        <v>Prioriteit</v>
      </c>
      <c r="G13" s="17" t="n">
        <v>0.2</v>
      </c>
      <c r="H13" s="18" t="n">
        <v>5</v>
      </c>
      <c r="I13" s="19" t="n">
        <v>0.87</v>
      </c>
      <c r="J13" s="12" t="s">
        <v>88</v>
      </c>
      <c r="K13" s="14"/>
      <c r="L13" s="12" t="s">
        <v>45</v>
      </c>
      <c r="M13" s="20" t="n">
        <v>46292</v>
      </c>
      <c r="N13" s="20" t="n">
        <v>46292</v>
      </c>
      <c r="O13" s="21" t="s">
        <v>46</v>
      </c>
      <c r="P13" s="14" t="s">
        <v>89</v>
      </c>
    </row>
    <row r="14" customFormat="false" ht="15" hidden="false" customHeight="false" outlineLevel="0" collapsed="false">
      <c r="A14" s="12" t="s">
        <v>16</v>
      </c>
      <c r="B14" s="12" t="s">
        <v>90</v>
      </c>
      <c r="C14" s="13" t="s">
        <v>91</v>
      </c>
      <c r="D14" s="14" t="s">
        <v>92</v>
      </c>
      <c r="E14" s="15" t="n">
        <v>83600</v>
      </c>
      <c r="F14" s="16" t="str">
        <f aca="false">IF(AND(H14&lt;&gt;"",H14&lt;Overzicht!$D$7),"Referentie",IF(E14="","Geen SW-cijfer",IF(E14&gt;=Overzicht!$D$5,"Prioriteit",IF(E14&gt;=Overzicht!$D$6,"Monitoren","Onder drempel"))))</f>
        <v>Prioriteit</v>
      </c>
      <c r="G14" s="17" t="n">
        <v>0.22</v>
      </c>
      <c r="H14" s="18" t="n">
        <v>5</v>
      </c>
      <c r="I14" s="19" t="n">
        <v>0</v>
      </c>
      <c r="J14" s="12" t="s">
        <v>51</v>
      </c>
      <c r="K14" s="14"/>
      <c r="L14" s="12" t="s">
        <v>45</v>
      </c>
      <c r="M14" s="20" t="n">
        <v>46292</v>
      </c>
      <c r="N14" s="20" t="n">
        <v>46292</v>
      </c>
      <c r="O14" s="21" t="s">
        <v>46</v>
      </c>
      <c r="P14" s="14" t="s">
        <v>93</v>
      </c>
    </row>
    <row r="15" customFormat="false" ht="15" hidden="false" customHeight="false" outlineLevel="0" collapsed="false">
      <c r="A15" s="12" t="s">
        <v>16</v>
      </c>
      <c r="B15" s="12" t="s">
        <v>94</v>
      </c>
      <c r="C15" s="13" t="s">
        <v>95</v>
      </c>
      <c r="D15" s="14" t="s">
        <v>96</v>
      </c>
      <c r="E15" s="15" t="n">
        <v>76900</v>
      </c>
      <c r="F15" s="16" t="str">
        <f aca="false">IF(AND(H15&lt;&gt;"",H15&lt;Overzicht!$D$7),"Referentie",IF(E15="","Geen SW-cijfer",IF(E15&gt;=Overzicht!$D$5,"Prioriteit",IF(E15&gt;=Overzicht!$D$6,"Monitoren","Onder drempel"))))</f>
        <v>Prioriteit</v>
      </c>
      <c r="G15" s="17" t="n">
        <v>-0.33</v>
      </c>
      <c r="H15" s="18" t="n">
        <v>5</v>
      </c>
      <c r="I15" s="19" t="n">
        <v>0.8</v>
      </c>
      <c r="J15" s="12" t="s">
        <v>97</v>
      </c>
      <c r="K15" s="14"/>
      <c r="L15" s="12" t="s">
        <v>52</v>
      </c>
      <c r="M15" s="20" t="n">
        <v>46292</v>
      </c>
      <c r="N15" s="20" t="n">
        <v>46292</v>
      </c>
      <c r="O15" s="21" t="s">
        <v>46</v>
      </c>
      <c r="P15" s="14" t="s">
        <v>98</v>
      </c>
    </row>
    <row r="16" customFormat="false" ht="15" hidden="false" customHeight="false" outlineLevel="0" collapsed="false">
      <c r="A16" s="12" t="s">
        <v>16</v>
      </c>
      <c r="B16" s="12" t="s">
        <v>99</v>
      </c>
      <c r="C16" s="13" t="s">
        <v>100</v>
      </c>
      <c r="D16" s="14" t="s">
        <v>101</v>
      </c>
      <c r="E16" s="15" t="n">
        <v>67000</v>
      </c>
      <c r="F16" s="16" t="str">
        <f aca="false">IF(AND(H16&lt;&gt;"",H16&lt;Overzicht!$D$7),"Referentie",IF(E16="","Geen SW-cijfer",IF(E16&gt;=Overzicht!$D$5,"Prioriteit",IF(E16&gt;=Overzicht!$D$6,"Monitoren","Onder drempel"))))</f>
        <v>Monitoren</v>
      </c>
      <c r="G16" s="17" t="n">
        <v>-0.27</v>
      </c>
      <c r="H16" s="18" t="n">
        <v>3</v>
      </c>
      <c r="I16" s="19" t="n">
        <v>0.16</v>
      </c>
      <c r="J16" s="12" t="s">
        <v>102</v>
      </c>
      <c r="K16" s="14"/>
      <c r="L16" s="12" t="s">
        <v>45</v>
      </c>
      <c r="M16" s="20" t="n">
        <v>46292</v>
      </c>
      <c r="N16" s="20" t="n">
        <v>46292</v>
      </c>
      <c r="O16" s="21" t="s">
        <v>46</v>
      </c>
      <c r="P16" s="14" t="s">
        <v>103</v>
      </c>
    </row>
    <row r="17" customFormat="false" ht="15" hidden="false" customHeight="false" outlineLevel="0" collapsed="false">
      <c r="A17" s="12" t="s">
        <v>16</v>
      </c>
      <c r="B17" s="12" t="s">
        <v>104</v>
      </c>
      <c r="C17" s="13" t="s">
        <v>105</v>
      </c>
      <c r="D17" s="14" t="s">
        <v>106</v>
      </c>
      <c r="E17" s="15" t="n">
        <v>41500</v>
      </c>
      <c r="F17" s="16" t="str">
        <f aca="false">IF(AND(H17&lt;&gt;"",H17&lt;Overzicht!$D$7),"Referentie",IF(E17="","Geen SW-cijfer",IF(E17&gt;=Overzicht!$D$5,"Prioriteit",IF(E17&gt;=Overzicht!$D$6,"Monitoren","Onder drempel"))))</f>
        <v>Monitoren</v>
      </c>
      <c r="G17" s="17" t="n">
        <v>5.9</v>
      </c>
      <c r="H17" s="18" t="n">
        <v>5</v>
      </c>
      <c r="I17" s="19" t="n">
        <v>0.83</v>
      </c>
      <c r="J17" s="12" t="s">
        <v>107</v>
      </c>
      <c r="K17" s="14"/>
      <c r="L17" s="12" t="s">
        <v>108</v>
      </c>
      <c r="M17" s="20" t="n">
        <v>46292</v>
      </c>
      <c r="N17" s="20" t="n">
        <v>46292</v>
      </c>
      <c r="O17" s="21" t="s">
        <v>46</v>
      </c>
      <c r="P17" s="14" t="s">
        <v>109</v>
      </c>
    </row>
    <row r="18" customFormat="false" ht="15" hidden="false" customHeight="false" outlineLevel="0" collapsed="false">
      <c r="A18" s="12" t="s">
        <v>16</v>
      </c>
      <c r="B18" s="12" t="s">
        <v>110</v>
      </c>
      <c r="C18" s="13" t="s">
        <v>111</v>
      </c>
      <c r="D18" s="14" t="s">
        <v>106</v>
      </c>
      <c r="E18" s="15" t="n">
        <v>32400</v>
      </c>
      <c r="F18" s="16" t="str">
        <f aca="false">IF(AND(H18&lt;&gt;"",H18&lt;Overzicht!$D$7),"Referentie",IF(E18="","Geen SW-cijfer",IF(E18&gt;=Overzicht!$D$5,"Prioriteit",IF(E18&gt;=Overzicht!$D$6,"Monitoren","Onder drempel"))))</f>
        <v>Monitoren</v>
      </c>
      <c r="G18" s="17" t="n">
        <v>-0.04</v>
      </c>
      <c r="H18" s="18" t="n">
        <v>5</v>
      </c>
      <c r="I18" s="19"/>
      <c r="J18" s="12"/>
      <c r="K18" s="14" t="s">
        <v>112</v>
      </c>
      <c r="L18" s="12" t="s">
        <v>45</v>
      </c>
      <c r="M18" s="20" t="n">
        <v>46292</v>
      </c>
      <c r="N18" s="20" t="n">
        <v>46292</v>
      </c>
      <c r="O18" s="21" t="s">
        <v>46</v>
      </c>
      <c r="P18" s="14" t="s">
        <v>113</v>
      </c>
    </row>
    <row r="19" customFormat="false" ht="15" hidden="false" customHeight="false" outlineLevel="0" collapsed="false">
      <c r="A19" s="12" t="s">
        <v>16</v>
      </c>
      <c r="B19" s="12" t="s">
        <v>114</v>
      </c>
      <c r="C19" s="13" t="s">
        <v>115</v>
      </c>
      <c r="D19" s="14" t="s">
        <v>116</v>
      </c>
      <c r="E19" s="15" t="n">
        <v>26200</v>
      </c>
      <c r="F19" s="16" t="str">
        <f aca="false">IF(AND(H19&lt;&gt;"",H19&lt;Overzicht!$D$7),"Referentie",IF(E19="","Geen SW-cijfer",IF(E19&gt;=Overzicht!$D$5,"Prioriteit",IF(E19&gt;=Overzicht!$D$6,"Monitoren","Onder drempel"))))</f>
        <v>Monitoren</v>
      </c>
      <c r="G19" s="17" t="n">
        <v>-0.6</v>
      </c>
      <c r="H19" s="18" t="n">
        <v>5</v>
      </c>
      <c r="I19" s="19" t="n">
        <v>0.73</v>
      </c>
      <c r="J19" s="12" t="s">
        <v>117</v>
      </c>
      <c r="K19" s="14"/>
      <c r="L19" s="12" t="s">
        <v>108</v>
      </c>
      <c r="M19" s="20" t="n">
        <v>46292</v>
      </c>
      <c r="N19" s="20" t="n">
        <v>46292</v>
      </c>
      <c r="O19" s="21" t="s">
        <v>46</v>
      </c>
      <c r="P19" s="14" t="s">
        <v>118</v>
      </c>
    </row>
    <row r="20" customFormat="false" ht="23.85" hidden="false" customHeight="false" outlineLevel="0" collapsed="false">
      <c r="A20" s="12" t="s">
        <v>16</v>
      </c>
      <c r="B20" s="12" t="s">
        <v>119</v>
      </c>
      <c r="C20" s="13" t="s">
        <v>120</v>
      </c>
      <c r="D20" s="14" t="s">
        <v>121</v>
      </c>
      <c r="E20" s="15"/>
      <c r="F20" s="16" t="str">
        <f aca="false">IF(AND(H20&lt;&gt;"",H20&lt;Overzicht!$D$7),"Referentie",IF(E20="","Geen SW-cijfer",IF(E20&gt;=Overzicht!$D$5,"Prioriteit",IF(E20&gt;=Overzicht!$D$6,"Monitoren","Onder drempel"))))</f>
        <v>Geen SW-cijfer</v>
      </c>
      <c r="G20" s="17"/>
      <c r="H20" s="18"/>
      <c r="I20" s="19"/>
      <c r="J20" s="12"/>
      <c r="K20" s="14" t="s">
        <v>122</v>
      </c>
      <c r="L20" s="12" t="s">
        <v>123</v>
      </c>
      <c r="M20" s="20" t="n">
        <v>46292</v>
      </c>
      <c r="N20" s="20" t="n">
        <v>46292</v>
      </c>
      <c r="O20" s="21" t="s">
        <v>46</v>
      </c>
      <c r="P20" s="14" t="s">
        <v>124</v>
      </c>
    </row>
    <row r="21" customFormat="false" ht="15" hidden="false" customHeight="false" outlineLevel="0" collapsed="false">
      <c r="A21" s="12" t="s">
        <v>16</v>
      </c>
      <c r="B21" s="12" t="s">
        <v>125</v>
      </c>
      <c r="C21" s="13" t="s">
        <v>126</v>
      </c>
      <c r="D21" s="14" t="s">
        <v>121</v>
      </c>
      <c r="E21" s="15"/>
      <c r="F21" s="16" t="str">
        <f aca="false">IF(AND(H21&lt;&gt;"",H21&lt;Overzicht!$D$7),"Referentie",IF(E21="","Geen SW-cijfer",IF(E21&gt;=Overzicht!$D$5,"Prioriteit",IF(E21&gt;=Overzicht!$D$6,"Monitoren","Onder drempel"))))</f>
        <v>Geen SW-cijfer</v>
      </c>
      <c r="G21" s="17"/>
      <c r="H21" s="18"/>
      <c r="I21" s="19"/>
      <c r="J21" s="12"/>
      <c r="K21" s="14"/>
      <c r="L21" s="12" t="s">
        <v>123</v>
      </c>
      <c r="M21" s="20" t="n">
        <v>46292</v>
      </c>
      <c r="N21" s="20" t="n">
        <v>46292</v>
      </c>
      <c r="O21" s="21" t="s">
        <v>46</v>
      </c>
      <c r="P21" s="14" t="s">
        <v>127</v>
      </c>
    </row>
    <row r="22" customFormat="false" ht="15" hidden="false" customHeight="false" outlineLevel="0" collapsed="false">
      <c r="A22" s="12" t="s">
        <v>16</v>
      </c>
      <c r="B22" s="12" t="s">
        <v>128</v>
      </c>
      <c r="C22" s="13" t="s">
        <v>129</v>
      </c>
      <c r="D22" s="14" t="s">
        <v>121</v>
      </c>
      <c r="E22" s="15"/>
      <c r="F22" s="16" t="str">
        <f aca="false">IF(AND(H22&lt;&gt;"",H22&lt;Overzicht!$D$7),"Referentie",IF(E22="","Geen SW-cijfer",IF(E22&gt;=Overzicht!$D$5,"Prioriteit",IF(E22&gt;=Overzicht!$D$6,"Monitoren","Onder drempel"))))</f>
        <v>Geen SW-cijfer</v>
      </c>
      <c r="G22" s="17"/>
      <c r="H22" s="18"/>
      <c r="I22" s="19"/>
      <c r="J22" s="12" t="s">
        <v>130</v>
      </c>
      <c r="K22" s="14"/>
      <c r="L22" s="12" t="s">
        <v>123</v>
      </c>
      <c r="M22" s="20" t="n">
        <v>46292</v>
      </c>
      <c r="N22" s="20" t="n">
        <v>46292</v>
      </c>
      <c r="O22" s="21" t="s">
        <v>46</v>
      </c>
      <c r="P22" s="14" t="s">
        <v>131</v>
      </c>
    </row>
    <row r="23" customFormat="false" ht="15" hidden="false" customHeight="false" outlineLevel="0" collapsed="false">
      <c r="A23" s="12" t="s">
        <v>16</v>
      </c>
      <c r="B23" s="12" t="s">
        <v>132</v>
      </c>
      <c r="C23" s="13" t="s">
        <v>133</v>
      </c>
      <c r="D23" s="14" t="s">
        <v>121</v>
      </c>
      <c r="E23" s="15"/>
      <c r="F23" s="16" t="str">
        <f aca="false">IF(AND(H23&lt;&gt;"",H23&lt;Overzicht!$D$7),"Referentie",IF(E23="","Geen SW-cijfer",IF(E23&gt;=Overzicht!$D$5,"Prioriteit",IF(E23&gt;=Overzicht!$D$6,"Monitoren","Onder drempel"))))</f>
        <v>Geen SW-cijfer</v>
      </c>
      <c r="G23" s="17"/>
      <c r="H23" s="18"/>
      <c r="I23" s="19"/>
      <c r="J23" s="12" t="s">
        <v>134</v>
      </c>
      <c r="K23" s="14"/>
      <c r="L23" s="12" t="s">
        <v>123</v>
      </c>
      <c r="M23" s="20" t="n">
        <v>46292</v>
      </c>
      <c r="N23" s="20" t="n">
        <v>46292</v>
      </c>
      <c r="O23" s="21" t="s">
        <v>46</v>
      </c>
      <c r="P23" s="14" t="s">
        <v>127</v>
      </c>
    </row>
    <row r="24" customFormat="false" ht="15" hidden="false" customHeight="false" outlineLevel="0" collapsed="false">
      <c r="A24" s="12" t="s">
        <v>16</v>
      </c>
      <c r="B24" s="12" t="s">
        <v>135</v>
      </c>
      <c r="C24" s="13" t="s">
        <v>136</v>
      </c>
      <c r="D24" s="14" t="s">
        <v>121</v>
      </c>
      <c r="E24" s="15"/>
      <c r="F24" s="16" t="str">
        <f aca="false">IF(AND(H24&lt;&gt;"",H24&lt;Overzicht!$D$7),"Referentie",IF(E24="","Geen SW-cijfer",IF(E24&gt;=Overzicht!$D$5,"Prioriteit",IF(E24&gt;=Overzicht!$D$6,"Monitoren","Onder drempel"))))</f>
        <v>Geen SW-cijfer</v>
      </c>
      <c r="G24" s="17"/>
      <c r="H24" s="18"/>
      <c r="I24" s="19"/>
      <c r="J24" s="12"/>
      <c r="K24" s="14"/>
      <c r="L24" s="12" t="s">
        <v>123</v>
      </c>
      <c r="M24" s="20" t="n">
        <v>46292</v>
      </c>
      <c r="N24" s="20" t="n">
        <v>46292</v>
      </c>
      <c r="O24" s="21" t="s">
        <v>46</v>
      </c>
      <c r="P24" s="14" t="s">
        <v>137</v>
      </c>
    </row>
    <row r="25" customFormat="false" ht="23.85" hidden="false" customHeight="false" outlineLevel="0" collapsed="false">
      <c r="A25" s="12" t="s">
        <v>16</v>
      </c>
      <c r="B25" s="12" t="s">
        <v>138</v>
      </c>
      <c r="C25" s="13" t="s">
        <v>139</v>
      </c>
      <c r="D25" s="14" t="s">
        <v>121</v>
      </c>
      <c r="E25" s="15"/>
      <c r="F25" s="16" t="str">
        <f aca="false">IF(AND(H25&lt;&gt;"",H25&lt;Overzicht!$D$7),"Referentie",IF(E25="","Geen SW-cijfer",IF(E25&gt;=Overzicht!$D$5,"Prioriteit",IF(E25&gt;=Overzicht!$D$6,"Monitoren","Onder drempel"))))</f>
        <v>Geen SW-cijfer</v>
      </c>
      <c r="G25" s="17"/>
      <c r="H25" s="18"/>
      <c r="I25" s="19"/>
      <c r="J25" s="12"/>
      <c r="K25" s="14" t="s">
        <v>140</v>
      </c>
      <c r="L25" s="12" t="s">
        <v>123</v>
      </c>
      <c r="M25" s="20" t="n">
        <v>46292</v>
      </c>
      <c r="N25" s="20" t="n">
        <v>46292</v>
      </c>
      <c r="O25" s="21" t="s">
        <v>46</v>
      </c>
      <c r="P25" s="14" t="s">
        <v>137</v>
      </c>
    </row>
    <row r="26" customFormat="false" ht="23.85" hidden="false" customHeight="false" outlineLevel="0" collapsed="false">
      <c r="A26" s="12" t="s">
        <v>16</v>
      </c>
      <c r="B26" s="12" t="s">
        <v>141</v>
      </c>
      <c r="C26" s="13" t="s">
        <v>142</v>
      </c>
      <c r="D26" s="14" t="s">
        <v>121</v>
      </c>
      <c r="E26" s="15"/>
      <c r="F26" s="16" t="str">
        <f aca="false">IF(AND(H26&lt;&gt;"",H26&lt;Overzicht!$D$7),"Referentie",IF(E26="","Geen SW-cijfer",IF(E26&gt;=Overzicht!$D$5,"Prioriteit",IF(E26&gt;=Overzicht!$D$6,"Monitoren","Onder drempel"))))</f>
        <v>Geen SW-cijfer</v>
      </c>
      <c r="G26" s="17"/>
      <c r="H26" s="18"/>
      <c r="I26" s="19"/>
      <c r="J26" s="12"/>
      <c r="K26" s="14" t="s">
        <v>122</v>
      </c>
      <c r="L26" s="12" t="s">
        <v>123</v>
      </c>
      <c r="M26" s="20" t="n">
        <v>46292</v>
      </c>
      <c r="N26" s="20" t="n">
        <v>46292</v>
      </c>
      <c r="O26" s="21" t="s">
        <v>46</v>
      </c>
      <c r="P26" s="14" t="s">
        <v>124</v>
      </c>
    </row>
    <row r="27" customFormat="false" ht="15" hidden="false" customHeight="false" outlineLevel="0" collapsed="false">
      <c r="A27" s="12" t="s">
        <v>16</v>
      </c>
      <c r="B27" s="12" t="s">
        <v>143</v>
      </c>
      <c r="C27" s="13" t="s">
        <v>144</v>
      </c>
      <c r="D27" s="14" t="s">
        <v>121</v>
      </c>
      <c r="E27" s="15"/>
      <c r="F27" s="16" t="str">
        <f aca="false">IF(AND(H27&lt;&gt;"",H27&lt;Overzicht!$D$7),"Referentie",IF(E27="","Geen SW-cijfer",IF(E27&gt;=Overzicht!$D$5,"Prioriteit",IF(E27&gt;=Overzicht!$D$6,"Monitoren","Onder drempel"))))</f>
        <v>Geen SW-cijfer</v>
      </c>
      <c r="G27" s="17"/>
      <c r="H27" s="18"/>
      <c r="I27" s="19"/>
      <c r="J27" s="12" t="s">
        <v>51</v>
      </c>
      <c r="K27" s="14"/>
      <c r="L27" s="12" t="s">
        <v>123</v>
      </c>
      <c r="M27" s="20" t="n">
        <v>46292</v>
      </c>
      <c r="N27" s="20" t="n">
        <v>46292</v>
      </c>
      <c r="O27" s="21" t="s">
        <v>46</v>
      </c>
      <c r="P27" s="14" t="s">
        <v>145</v>
      </c>
    </row>
    <row r="28" customFormat="false" ht="15" hidden="false" customHeight="false" outlineLevel="0" collapsed="false">
      <c r="A28" s="12" t="s">
        <v>16</v>
      </c>
      <c r="B28" s="12" t="s">
        <v>146</v>
      </c>
      <c r="C28" s="13" t="s">
        <v>147</v>
      </c>
      <c r="D28" s="14" t="s">
        <v>121</v>
      </c>
      <c r="E28" s="15"/>
      <c r="F28" s="16" t="str">
        <f aca="false">IF(AND(H28&lt;&gt;"",H28&lt;Overzicht!$D$7),"Referentie",IF(E28="","Geen SW-cijfer",IF(E28&gt;=Overzicht!$D$5,"Prioriteit",IF(E28&gt;=Overzicht!$D$6,"Monitoren","Onder drempel"))))</f>
        <v>Geen SW-cijfer</v>
      </c>
      <c r="G28" s="17"/>
      <c r="H28" s="18"/>
      <c r="I28" s="19"/>
      <c r="J28" s="12"/>
      <c r="K28" s="14"/>
      <c r="L28" s="12" t="s">
        <v>123</v>
      </c>
      <c r="M28" s="20" t="n">
        <v>46292</v>
      </c>
      <c r="N28" s="20" t="n">
        <v>46292</v>
      </c>
      <c r="O28" s="21" t="s">
        <v>46</v>
      </c>
      <c r="P28" s="14" t="s">
        <v>127</v>
      </c>
    </row>
    <row r="29" customFormat="false" ht="15" hidden="false" customHeight="false" outlineLevel="0" collapsed="false">
      <c r="A29" s="12" t="s">
        <v>16</v>
      </c>
      <c r="B29" s="12" t="s">
        <v>148</v>
      </c>
      <c r="C29" s="13" t="s">
        <v>149</v>
      </c>
      <c r="D29" s="14" t="s">
        <v>121</v>
      </c>
      <c r="E29" s="15"/>
      <c r="F29" s="16" t="str">
        <f aca="false">IF(AND(H29&lt;&gt;"",H29&lt;Overzicht!$D$7),"Referentie",IF(E29="","Geen SW-cijfer",IF(E29&gt;=Overzicht!$D$5,"Prioriteit",IF(E29&gt;=Overzicht!$D$6,"Monitoren","Onder drempel"))))</f>
        <v>Geen SW-cijfer</v>
      </c>
      <c r="G29" s="17"/>
      <c r="H29" s="18"/>
      <c r="I29" s="19"/>
      <c r="J29" s="12"/>
      <c r="K29" s="14" t="s">
        <v>150</v>
      </c>
      <c r="L29" s="12" t="s">
        <v>123</v>
      </c>
      <c r="M29" s="20" t="n">
        <v>46292</v>
      </c>
      <c r="N29" s="20" t="n">
        <v>46292</v>
      </c>
      <c r="O29" s="21" t="s">
        <v>46</v>
      </c>
      <c r="P29" s="14" t="s">
        <v>151</v>
      </c>
    </row>
    <row r="30" customFormat="false" ht="15" hidden="false" customHeight="false" outlineLevel="0" collapsed="false">
      <c r="A30" s="12" t="s">
        <v>16</v>
      </c>
      <c r="B30" s="12" t="s">
        <v>152</v>
      </c>
      <c r="C30" s="13" t="s">
        <v>153</v>
      </c>
      <c r="D30" s="14" t="s">
        <v>121</v>
      </c>
      <c r="E30" s="15"/>
      <c r="F30" s="16" t="str">
        <f aca="false">IF(AND(H30&lt;&gt;"",H30&lt;Overzicht!$D$7),"Referentie",IF(E30="","Geen SW-cijfer",IF(E30&gt;=Overzicht!$D$5,"Prioriteit",IF(E30&gt;=Overzicht!$D$6,"Monitoren","Onder drempel"))))</f>
        <v>Geen SW-cijfer</v>
      </c>
      <c r="G30" s="17"/>
      <c r="H30" s="18"/>
      <c r="I30" s="19"/>
      <c r="J30" s="12"/>
      <c r="K30" s="14"/>
      <c r="L30" s="12" t="s">
        <v>123</v>
      </c>
      <c r="M30" s="20" t="n">
        <v>46292</v>
      </c>
      <c r="N30" s="20" t="n">
        <v>46292</v>
      </c>
      <c r="O30" s="21" t="s">
        <v>46</v>
      </c>
      <c r="P30" s="14" t="s">
        <v>137</v>
      </c>
    </row>
    <row r="31" customFormat="false" ht="23.85" hidden="false" customHeight="false" outlineLevel="0" collapsed="false">
      <c r="A31" s="12" t="s">
        <v>16</v>
      </c>
      <c r="B31" s="12" t="s">
        <v>154</v>
      </c>
      <c r="C31" s="13" t="s">
        <v>155</v>
      </c>
      <c r="D31" s="14" t="s">
        <v>121</v>
      </c>
      <c r="E31" s="15"/>
      <c r="F31" s="16" t="str">
        <f aca="false">IF(AND(H31&lt;&gt;"",H31&lt;Overzicht!$D$7),"Referentie",IF(E31="","Geen SW-cijfer",IF(E31&gt;=Overzicht!$D$5,"Prioriteit",IF(E31&gt;=Overzicht!$D$6,"Monitoren","Onder drempel"))))</f>
        <v>Geen SW-cijfer</v>
      </c>
      <c r="G31" s="17"/>
      <c r="H31" s="18"/>
      <c r="I31" s="19"/>
      <c r="J31" s="12"/>
      <c r="K31" s="14" t="s">
        <v>122</v>
      </c>
      <c r="L31" s="12" t="s">
        <v>123</v>
      </c>
      <c r="M31" s="20" t="n">
        <v>46292</v>
      </c>
      <c r="N31" s="20" t="n">
        <v>46292</v>
      </c>
      <c r="O31" s="21" t="s">
        <v>46</v>
      </c>
      <c r="P31" s="14" t="s">
        <v>137</v>
      </c>
    </row>
    <row r="32" customFormat="false" ht="15" hidden="false" customHeight="false" outlineLevel="0" collapsed="false">
      <c r="A32" s="12" t="s">
        <v>16</v>
      </c>
      <c r="B32" s="12" t="s">
        <v>156</v>
      </c>
      <c r="C32" s="13" t="s">
        <v>157</v>
      </c>
      <c r="D32" s="14" t="s">
        <v>121</v>
      </c>
      <c r="E32" s="15"/>
      <c r="F32" s="16" t="str">
        <f aca="false">IF(AND(H32&lt;&gt;"",H32&lt;Overzicht!$D$7),"Referentie",IF(E32="","Geen SW-cijfer",IF(E32&gt;=Overzicht!$D$5,"Prioriteit",IF(E32&gt;=Overzicht!$D$6,"Monitoren","Onder drempel"))))</f>
        <v>Geen SW-cijfer</v>
      </c>
      <c r="G32" s="17"/>
      <c r="H32" s="18"/>
      <c r="I32" s="19"/>
      <c r="J32" s="12" t="s">
        <v>158</v>
      </c>
      <c r="K32" s="14"/>
      <c r="L32" s="12" t="s">
        <v>123</v>
      </c>
      <c r="M32" s="20" t="n">
        <v>46292</v>
      </c>
      <c r="N32" s="20" t="n">
        <v>46292</v>
      </c>
      <c r="O32" s="21" t="s">
        <v>46</v>
      </c>
      <c r="P32" s="14" t="s">
        <v>127</v>
      </c>
    </row>
    <row r="33" customFormat="false" ht="15" hidden="false" customHeight="false" outlineLevel="0" collapsed="false">
      <c r="A33" s="12" t="s">
        <v>16</v>
      </c>
      <c r="B33" s="12" t="s">
        <v>159</v>
      </c>
      <c r="C33" s="13" t="s">
        <v>160</v>
      </c>
      <c r="D33" s="14" t="s">
        <v>121</v>
      </c>
      <c r="E33" s="15"/>
      <c r="F33" s="16" t="str">
        <f aca="false">IF(AND(H33&lt;&gt;"",H33&lt;Overzicht!$D$7),"Referentie",IF(E33="","Geen SW-cijfer",IF(E33&gt;=Overzicht!$D$5,"Prioriteit",IF(E33&gt;=Overzicht!$D$6,"Monitoren","Onder drempel"))))</f>
        <v>Geen SW-cijfer</v>
      </c>
      <c r="G33" s="17"/>
      <c r="H33" s="18"/>
      <c r="I33" s="19"/>
      <c r="J33" s="12" t="s">
        <v>88</v>
      </c>
      <c r="K33" s="14"/>
      <c r="L33" s="12" t="s">
        <v>123</v>
      </c>
      <c r="M33" s="20" t="n">
        <v>46292</v>
      </c>
      <c r="N33" s="20" t="n">
        <v>46292</v>
      </c>
      <c r="O33" s="21" t="s">
        <v>46</v>
      </c>
      <c r="P33" s="14" t="s">
        <v>161</v>
      </c>
    </row>
    <row r="34" customFormat="false" ht="15" hidden="false" customHeight="false" outlineLevel="0" collapsed="false">
      <c r="A34" s="12" t="s">
        <v>16</v>
      </c>
      <c r="B34" s="12" t="s">
        <v>162</v>
      </c>
      <c r="C34" s="13" t="s">
        <v>163</v>
      </c>
      <c r="D34" s="14" t="s">
        <v>121</v>
      </c>
      <c r="E34" s="15"/>
      <c r="F34" s="16" t="str">
        <f aca="false">IF(AND(H34&lt;&gt;"",H34&lt;Overzicht!$D$7),"Referentie",IF(E34="","Geen SW-cijfer",IF(E34&gt;=Overzicht!$D$5,"Prioriteit",IF(E34&gt;=Overzicht!$D$6,"Monitoren","Onder drempel"))))</f>
        <v>Geen SW-cijfer</v>
      </c>
      <c r="G34" s="17"/>
      <c r="H34" s="18"/>
      <c r="I34" s="19"/>
      <c r="J34" s="12"/>
      <c r="K34" s="14"/>
      <c r="L34" s="12" t="s">
        <v>123</v>
      </c>
      <c r="M34" s="20" t="n">
        <v>46292</v>
      </c>
      <c r="N34" s="20" t="n">
        <v>46292</v>
      </c>
      <c r="O34" s="21" t="s">
        <v>46</v>
      </c>
      <c r="P34" s="14" t="s">
        <v>137</v>
      </c>
    </row>
    <row r="35" customFormat="false" ht="15" hidden="false" customHeight="false" outlineLevel="0" collapsed="false">
      <c r="A35" s="12" t="s">
        <v>16</v>
      </c>
      <c r="B35" s="12" t="s">
        <v>164</v>
      </c>
      <c r="C35" s="13" t="s">
        <v>165</v>
      </c>
      <c r="D35" s="14" t="s">
        <v>121</v>
      </c>
      <c r="E35" s="15"/>
      <c r="F35" s="16" t="str">
        <f aca="false">IF(AND(H35&lt;&gt;"",H35&lt;Overzicht!$D$7),"Referentie",IF(E35="","Geen SW-cijfer",IF(E35&gt;=Overzicht!$D$5,"Prioriteit",IF(E35&gt;=Overzicht!$D$6,"Monitoren","Onder drempel"))))</f>
        <v>Geen SW-cijfer</v>
      </c>
      <c r="G35" s="17"/>
      <c r="H35" s="18"/>
      <c r="I35" s="19"/>
      <c r="J35" s="12"/>
      <c r="K35" s="14" t="s">
        <v>112</v>
      </c>
      <c r="L35" s="12" t="s">
        <v>123</v>
      </c>
      <c r="M35" s="20" t="n">
        <v>46292</v>
      </c>
      <c r="N35" s="20" t="n">
        <v>46292</v>
      </c>
      <c r="O35" s="21" t="s">
        <v>46</v>
      </c>
      <c r="P35" s="14" t="s">
        <v>166</v>
      </c>
    </row>
    <row r="36" customFormat="false" ht="15" hidden="false" customHeight="false" outlineLevel="0" collapsed="false">
      <c r="A36" s="12" t="s">
        <v>16</v>
      </c>
      <c r="B36" s="12" t="s">
        <v>167</v>
      </c>
      <c r="C36" s="13" t="s">
        <v>168</v>
      </c>
      <c r="D36" s="14" t="s">
        <v>121</v>
      </c>
      <c r="E36" s="15"/>
      <c r="F36" s="16" t="str">
        <f aca="false">IF(AND(H36&lt;&gt;"",H36&lt;Overzicht!$D$7),"Referentie",IF(E36="","Geen SW-cijfer",IF(E36&gt;=Overzicht!$D$5,"Prioriteit",IF(E36&gt;=Overzicht!$D$6,"Monitoren","Onder drempel"))))</f>
        <v>Geen SW-cijfer</v>
      </c>
      <c r="G36" s="17"/>
      <c r="H36" s="18"/>
      <c r="I36" s="19"/>
      <c r="J36" s="12" t="s">
        <v>169</v>
      </c>
      <c r="K36" s="14"/>
      <c r="L36" s="12" t="s">
        <v>123</v>
      </c>
      <c r="M36" s="20" t="n">
        <v>46292</v>
      </c>
      <c r="N36" s="20" t="n">
        <v>46292</v>
      </c>
      <c r="O36" s="21" t="s">
        <v>46</v>
      </c>
      <c r="P36" s="14" t="s">
        <v>170</v>
      </c>
    </row>
    <row r="37" customFormat="false" ht="15" hidden="false" customHeight="false" outlineLevel="0" collapsed="false">
      <c r="A37" s="12" t="s">
        <v>16</v>
      </c>
      <c r="B37" s="12" t="s">
        <v>171</v>
      </c>
      <c r="C37" s="13" t="s">
        <v>172</v>
      </c>
      <c r="D37" s="14" t="s">
        <v>121</v>
      </c>
      <c r="E37" s="15"/>
      <c r="F37" s="16" t="str">
        <f aca="false">IF(AND(H37&lt;&gt;"",H37&lt;Overzicht!$D$7),"Referentie",IF(E37="","Geen SW-cijfer",IF(E37&gt;=Overzicht!$D$5,"Prioriteit",IF(E37&gt;=Overzicht!$D$6,"Monitoren","Onder drempel"))))</f>
        <v>Geen SW-cijfer</v>
      </c>
      <c r="G37" s="17"/>
      <c r="H37" s="18"/>
      <c r="I37" s="19"/>
      <c r="J37" s="12"/>
      <c r="K37" s="14"/>
      <c r="L37" s="12" t="s">
        <v>123</v>
      </c>
      <c r="M37" s="20" t="n">
        <v>46292</v>
      </c>
      <c r="N37" s="20" t="n">
        <v>46292</v>
      </c>
      <c r="O37" s="21" t="s">
        <v>46</v>
      </c>
      <c r="P37" s="14" t="s">
        <v>127</v>
      </c>
    </row>
    <row r="38" customFormat="false" ht="15" hidden="false" customHeight="false" outlineLevel="0" collapsed="false">
      <c r="A38" s="12" t="s">
        <v>16</v>
      </c>
      <c r="B38" s="12" t="s">
        <v>173</v>
      </c>
      <c r="C38" s="13" t="s">
        <v>174</v>
      </c>
      <c r="D38" s="14" t="s">
        <v>121</v>
      </c>
      <c r="E38" s="15"/>
      <c r="F38" s="16" t="str">
        <f aca="false">IF(AND(H38&lt;&gt;"",H38&lt;Overzicht!$D$7),"Referentie",IF(E38="","Geen SW-cijfer",IF(E38&gt;=Overzicht!$D$5,"Prioriteit",IF(E38&gt;=Overzicht!$D$6,"Monitoren","Onder drempel"))))</f>
        <v>Geen SW-cijfer</v>
      </c>
      <c r="G38" s="17"/>
      <c r="H38" s="18"/>
      <c r="I38" s="19"/>
      <c r="J38" s="12" t="s">
        <v>175</v>
      </c>
      <c r="K38" s="14"/>
      <c r="L38" s="12" t="s">
        <v>123</v>
      </c>
      <c r="M38" s="20" t="n">
        <v>46292</v>
      </c>
      <c r="N38" s="20" t="n">
        <v>46292</v>
      </c>
      <c r="O38" s="21" t="s">
        <v>46</v>
      </c>
      <c r="P38" s="14" t="s">
        <v>176</v>
      </c>
    </row>
    <row r="39" customFormat="false" ht="15" hidden="false" customHeight="false" outlineLevel="0" collapsed="false">
      <c r="A39" s="12" t="s">
        <v>16</v>
      </c>
      <c r="B39" s="12" t="s">
        <v>177</v>
      </c>
      <c r="C39" s="13" t="s">
        <v>178</v>
      </c>
      <c r="D39" s="14" t="s">
        <v>121</v>
      </c>
      <c r="E39" s="15"/>
      <c r="F39" s="16" t="str">
        <f aca="false">IF(AND(H39&lt;&gt;"",H39&lt;Overzicht!$D$7),"Referentie",IF(E39="","Geen SW-cijfer",IF(E39&gt;=Overzicht!$D$5,"Prioriteit",IF(E39&gt;=Overzicht!$D$6,"Monitoren","Onder drempel"))))</f>
        <v>Geen SW-cijfer</v>
      </c>
      <c r="G39" s="17"/>
      <c r="H39" s="18"/>
      <c r="I39" s="19"/>
      <c r="J39" s="12" t="s">
        <v>51</v>
      </c>
      <c r="K39" s="14"/>
      <c r="L39" s="12" t="s">
        <v>123</v>
      </c>
      <c r="M39" s="20" t="n">
        <v>46292</v>
      </c>
      <c r="N39" s="20" t="n">
        <v>46292</v>
      </c>
      <c r="O39" s="21" t="s">
        <v>46</v>
      </c>
      <c r="P39" s="14" t="s">
        <v>179</v>
      </c>
    </row>
    <row r="40" customFormat="false" ht="15" hidden="false" customHeight="false" outlineLevel="0" collapsed="false">
      <c r="A40" s="12" t="s">
        <v>16</v>
      </c>
      <c r="B40" s="12" t="s">
        <v>180</v>
      </c>
      <c r="C40" s="13" t="s">
        <v>181</v>
      </c>
      <c r="D40" s="14" t="s">
        <v>121</v>
      </c>
      <c r="E40" s="15"/>
      <c r="F40" s="16" t="str">
        <f aca="false">IF(AND(H40&lt;&gt;"",H40&lt;Overzicht!$D$7),"Referentie",IF(E40="","Geen SW-cijfer",IF(E40&gt;=Overzicht!$D$5,"Prioriteit",IF(E40&gt;=Overzicht!$D$6,"Monitoren","Onder drempel"))))</f>
        <v>Geen SW-cijfer</v>
      </c>
      <c r="G40" s="17"/>
      <c r="H40" s="18"/>
      <c r="I40" s="19"/>
      <c r="J40" s="12" t="s">
        <v>182</v>
      </c>
      <c r="K40" s="14"/>
      <c r="L40" s="12" t="s">
        <v>123</v>
      </c>
      <c r="M40" s="20" t="n">
        <v>46292</v>
      </c>
      <c r="N40" s="20" t="n">
        <v>46292</v>
      </c>
      <c r="O40" s="21" t="s">
        <v>46</v>
      </c>
      <c r="P40" s="14" t="s">
        <v>183</v>
      </c>
    </row>
    <row r="41" customFormat="false" ht="15" hidden="false" customHeight="false" outlineLevel="0" collapsed="false">
      <c r="A41" s="12" t="s">
        <v>18</v>
      </c>
      <c r="B41" s="12" t="s">
        <v>184</v>
      </c>
      <c r="C41" s="13" t="s">
        <v>185</v>
      </c>
      <c r="D41" s="14" t="s">
        <v>106</v>
      </c>
      <c r="E41" s="15" t="n">
        <v>426400</v>
      </c>
      <c r="F41" s="16" t="str">
        <f aca="false">IF(AND(H41&lt;&gt;"",H41&lt;Overzicht!$D$7),"Referentie",IF(E41="","Geen SW-cijfer",IF(E41&gt;=Overzicht!$D$5,"Prioriteit",IF(E41&gt;=Overzicht!$D$6,"Monitoren","Onder drempel"))))</f>
        <v>Prioriteit</v>
      </c>
      <c r="G41" s="17" t="n">
        <v>0.3</v>
      </c>
      <c r="H41" s="18" t="n">
        <v>5</v>
      </c>
      <c r="I41" s="19" t="n">
        <v>0.69</v>
      </c>
      <c r="J41" s="12" t="s">
        <v>186</v>
      </c>
      <c r="K41" s="14"/>
      <c r="L41" s="12" t="s">
        <v>45</v>
      </c>
      <c r="M41" s="20" t="n">
        <v>46292</v>
      </c>
      <c r="N41" s="20" t="n">
        <v>46292</v>
      </c>
      <c r="O41" s="21" t="s">
        <v>46</v>
      </c>
      <c r="P41" s="14" t="s">
        <v>187</v>
      </c>
    </row>
    <row r="42" customFormat="false" ht="15" hidden="false" customHeight="false" outlineLevel="0" collapsed="false">
      <c r="A42" s="12" t="s">
        <v>18</v>
      </c>
      <c r="B42" s="12" t="s">
        <v>188</v>
      </c>
      <c r="C42" s="13" t="s">
        <v>189</v>
      </c>
      <c r="D42" s="14" t="s">
        <v>101</v>
      </c>
      <c r="E42" s="15" t="n">
        <v>275400</v>
      </c>
      <c r="F42" s="16" t="str">
        <f aca="false">IF(AND(H42&lt;&gt;"",H42&lt;Overzicht!$D$7),"Referentie",IF(E42="","Geen SW-cijfer",IF(E42&gt;=Overzicht!$D$5,"Prioriteit",IF(E42&gt;=Overzicht!$D$6,"Monitoren","Onder drempel"))))</f>
        <v>Prioriteit</v>
      </c>
      <c r="G42" s="17" t="n">
        <v>0.77</v>
      </c>
      <c r="H42" s="18" t="n">
        <v>5</v>
      </c>
      <c r="I42" s="19" t="n">
        <v>0.79</v>
      </c>
      <c r="J42" s="12" t="s">
        <v>190</v>
      </c>
      <c r="K42" s="14"/>
      <c r="L42" s="12" t="s">
        <v>45</v>
      </c>
      <c r="M42" s="20" t="n">
        <v>46292</v>
      </c>
      <c r="N42" s="20" t="n">
        <v>46292</v>
      </c>
      <c r="O42" s="21" t="s">
        <v>46</v>
      </c>
      <c r="P42" s="14" t="s">
        <v>191</v>
      </c>
    </row>
    <row r="43" customFormat="false" ht="23.85" hidden="false" customHeight="false" outlineLevel="0" collapsed="false">
      <c r="A43" s="12" t="s">
        <v>18</v>
      </c>
      <c r="B43" s="12" t="s">
        <v>192</v>
      </c>
      <c r="C43" s="13" t="s">
        <v>193</v>
      </c>
      <c r="D43" s="14" t="s">
        <v>194</v>
      </c>
      <c r="E43" s="15" t="n">
        <v>268600</v>
      </c>
      <c r="F43" s="16" t="str">
        <f aca="false">IF(AND(H43&lt;&gt;"",H43&lt;Overzicht!$D$7),"Referentie",IF(E43="","Geen SW-cijfer",IF(E43&gt;=Overzicht!$D$5,"Prioriteit",IF(E43&gt;=Overzicht!$D$6,"Monitoren","Onder drempel"))))</f>
        <v>Prioriteit</v>
      </c>
      <c r="G43" s="17" t="n">
        <v>-0.04</v>
      </c>
      <c r="H43" s="18" t="n">
        <v>5</v>
      </c>
      <c r="I43" s="19" t="n">
        <v>0.79</v>
      </c>
      <c r="J43" s="12" t="s">
        <v>190</v>
      </c>
      <c r="K43" s="14" t="s">
        <v>195</v>
      </c>
      <c r="L43" s="12" t="s">
        <v>45</v>
      </c>
      <c r="M43" s="20" t="n">
        <v>46292</v>
      </c>
      <c r="N43" s="20" t="n">
        <v>46292</v>
      </c>
      <c r="O43" s="21" t="s">
        <v>46</v>
      </c>
      <c r="P43" s="14" t="s">
        <v>196</v>
      </c>
    </row>
    <row r="44" customFormat="false" ht="15" hidden="false" customHeight="false" outlineLevel="0" collapsed="false">
      <c r="A44" s="12" t="s">
        <v>18</v>
      </c>
      <c r="B44" s="12" t="s">
        <v>197</v>
      </c>
      <c r="C44" s="13" t="s">
        <v>198</v>
      </c>
      <c r="D44" s="14" t="s">
        <v>101</v>
      </c>
      <c r="E44" s="15" t="n">
        <v>235800</v>
      </c>
      <c r="F44" s="16" t="str">
        <f aca="false">IF(AND(H44&lt;&gt;"",H44&lt;Overzicht!$D$7),"Referentie",IF(E44="","Geen SW-cijfer",IF(E44&gt;=Overzicht!$D$5,"Prioriteit",IF(E44&gt;=Overzicht!$D$6,"Monitoren","Onder drempel"))))</f>
        <v>Prioriteit</v>
      </c>
      <c r="G44" s="17" t="n">
        <v>0.49</v>
      </c>
      <c r="H44" s="18" t="n">
        <v>4</v>
      </c>
      <c r="I44" s="19" t="n">
        <v>0.93</v>
      </c>
      <c r="J44" s="12" t="s">
        <v>190</v>
      </c>
      <c r="K44" s="14" t="s">
        <v>199</v>
      </c>
      <c r="L44" s="12" t="s">
        <v>45</v>
      </c>
      <c r="M44" s="20" t="n">
        <v>46292</v>
      </c>
      <c r="N44" s="20" t="n">
        <v>46292</v>
      </c>
      <c r="O44" s="21" t="s">
        <v>46</v>
      </c>
      <c r="P44" s="14" t="s">
        <v>200</v>
      </c>
    </row>
    <row r="45" customFormat="false" ht="15" hidden="false" customHeight="false" outlineLevel="0" collapsed="false">
      <c r="A45" s="12" t="s">
        <v>18</v>
      </c>
      <c r="B45" s="12" t="s">
        <v>201</v>
      </c>
      <c r="C45" s="13" t="s">
        <v>202</v>
      </c>
      <c r="D45" s="14" t="s">
        <v>194</v>
      </c>
      <c r="E45" s="15" t="n">
        <v>195100</v>
      </c>
      <c r="F45" s="16" t="str">
        <f aca="false">IF(AND(H45&lt;&gt;"",H45&lt;Overzicht!$D$7),"Referentie",IF(E45="","Geen SW-cijfer",IF(E45&gt;=Overzicht!$D$5,"Prioriteit",IF(E45&gt;=Overzicht!$D$6,"Monitoren","Onder drempel"))))</f>
        <v>Prioriteit</v>
      </c>
      <c r="G45" s="17" t="n">
        <v>1.42</v>
      </c>
      <c r="H45" s="18" t="n">
        <v>5</v>
      </c>
      <c r="I45" s="19" t="n">
        <v>0.84</v>
      </c>
      <c r="J45" s="12" t="s">
        <v>203</v>
      </c>
      <c r="K45" s="14"/>
      <c r="L45" s="12" t="s">
        <v>45</v>
      </c>
      <c r="M45" s="20" t="n">
        <v>46292</v>
      </c>
      <c r="N45" s="20" t="n">
        <v>46292</v>
      </c>
      <c r="O45" s="21" t="s">
        <v>46</v>
      </c>
      <c r="P45" s="14" t="s">
        <v>204</v>
      </c>
    </row>
    <row r="46" customFormat="false" ht="15" hidden="false" customHeight="false" outlineLevel="0" collapsed="false">
      <c r="A46" s="12" t="s">
        <v>18</v>
      </c>
      <c r="B46" s="12" t="s">
        <v>205</v>
      </c>
      <c r="C46" s="13" t="s">
        <v>206</v>
      </c>
      <c r="D46" s="14" t="s">
        <v>101</v>
      </c>
      <c r="E46" s="15" t="n">
        <v>165600</v>
      </c>
      <c r="F46" s="16" t="str">
        <f aca="false">IF(AND(H46&lt;&gt;"",H46&lt;Overzicht!$D$7),"Referentie",IF(E46="","Geen SW-cijfer",IF(E46&gt;=Overzicht!$D$5,"Prioriteit",IF(E46&gt;=Overzicht!$D$6,"Monitoren","Onder drempel"))))</f>
        <v>Prioriteit</v>
      </c>
      <c r="G46" s="17" t="n">
        <v>0.7</v>
      </c>
      <c r="H46" s="18" t="n">
        <v>4</v>
      </c>
      <c r="I46" s="19" t="n">
        <v>0.38</v>
      </c>
      <c r="J46" s="12" t="s">
        <v>190</v>
      </c>
      <c r="K46" s="14" t="s">
        <v>199</v>
      </c>
      <c r="L46" s="12" t="s">
        <v>52</v>
      </c>
      <c r="M46" s="20" t="n">
        <v>46292</v>
      </c>
      <c r="N46" s="20" t="n">
        <v>46292</v>
      </c>
      <c r="O46" s="21" t="s">
        <v>46</v>
      </c>
      <c r="P46" s="14" t="s">
        <v>207</v>
      </c>
    </row>
    <row r="47" customFormat="false" ht="15" hidden="false" customHeight="false" outlineLevel="0" collapsed="false">
      <c r="A47" s="12" t="s">
        <v>18</v>
      </c>
      <c r="B47" s="12" t="s">
        <v>208</v>
      </c>
      <c r="C47" s="13" t="s">
        <v>209</v>
      </c>
      <c r="D47" s="14" t="s">
        <v>101</v>
      </c>
      <c r="E47" s="15" t="n">
        <v>151900</v>
      </c>
      <c r="F47" s="16" t="str">
        <f aca="false">IF(AND(H47&lt;&gt;"",H47&lt;Overzicht!$D$7),"Referentie",IF(E47="","Geen SW-cijfer",IF(E47&gt;=Overzicht!$D$5,"Prioriteit",IF(E47&gt;=Overzicht!$D$6,"Monitoren","Onder drempel"))))</f>
        <v>Referentie</v>
      </c>
      <c r="G47" s="17" t="n">
        <v>0.61</v>
      </c>
      <c r="H47" s="18" t="n">
        <v>2</v>
      </c>
      <c r="I47" s="19" t="n">
        <v>0.21</v>
      </c>
      <c r="J47" s="12" t="s">
        <v>210</v>
      </c>
      <c r="K47" s="14"/>
      <c r="L47" s="12" t="s">
        <v>45</v>
      </c>
      <c r="M47" s="20" t="n">
        <v>46292</v>
      </c>
      <c r="N47" s="20" t="n">
        <v>46292</v>
      </c>
      <c r="O47" s="21" t="s">
        <v>46</v>
      </c>
      <c r="P47" s="14" t="s">
        <v>211</v>
      </c>
    </row>
    <row r="48" customFormat="false" ht="15" hidden="false" customHeight="false" outlineLevel="0" collapsed="false">
      <c r="A48" s="12" t="s">
        <v>18</v>
      </c>
      <c r="B48" s="12" t="s">
        <v>212</v>
      </c>
      <c r="C48" s="13" t="s">
        <v>213</v>
      </c>
      <c r="D48" s="14" t="s">
        <v>101</v>
      </c>
      <c r="E48" s="15" t="n">
        <v>95600</v>
      </c>
      <c r="F48" s="16" t="str">
        <f aca="false">IF(AND(H48&lt;&gt;"",H48&lt;Overzicht!$D$7),"Referentie",IF(E48="","Geen SW-cijfer",IF(E48&gt;=Overzicht!$D$5,"Prioriteit",IF(E48&gt;=Overzicht!$D$6,"Monitoren","Onder drempel"))))</f>
        <v>Prioriteit</v>
      </c>
      <c r="G48" s="17" t="n">
        <v>-0.55</v>
      </c>
      <c r="H48" s="18" t="n">
        <v>5</v>
      </c>
      <c r="I48" s="19" t="n">
        <v>0.45</v>
      </c>
      <c r="J48" s="12" t="s">
        <v>214</v>
      </c>
      <c r="K48" s="14"/>
      <c r="L48" s="12" t="s">
        <v>45</v>
      </c>
      <c r="M48" s="20" t="n">
        <v>46292</v>
      </c>
      <c r="N48" s="20" t="n">
        <v>46292</v>
      </c>
      <c r="O48" s="21" t="s">
        <v>46</v>
      </c>
      <c r="P48" s="14"/>
    </row>
    <row r="49" customFormat="false" ht="15" hidden="false" customHeight="false" outlineLevel="0" collapsed="false">
      <c r="A49" s="12" t="s">
        <v>18</v>
      </c>
      <c r="B49" s="12" t="s">
        <v>215</v>
      </c>
      <c r="C49" s="13" t="s">
        <v>216</v>
      </c>
      <c r="D49" s="14" t="s">
        <v>194</v>
      </c>
      <c r="E49" s="15" t="n">
        <v>77300</v>
      </c>
      <c r="F49" s="16" t="str">
        <f aca="false">IF(AND(H49&lt;&gt;"",H49&lt;Overzicht!$D$7),"Referentie",IF(E49="","Geen SW-cijfer",IF(E49&gt;=Overzicht!$D$5,"Prioriteit",IF(E49&gt;=Overzicht!$D$6,"Monitoren","Onder drempel"))))</f>
        <v>Prioriteit</v>
      </c>
      <c r="G49" s="17" t="n">
        <v>0.84</v>
      </c>
      <c r="H49" s="18" t="n">
        <v>5</v>
      </c>
      <c r="I49" s="19" t="n">
        <v>0.69</v>
      </c>
      <c r="J49" s="12" t="s">
        <v>190</v>
      </c>
      <c r="K49" s="14"/>
      <c r="L49" s="12" t="s">
        <v>45</v>
      </c>
      <c r="M49" s="20" t="n">
        <v>46292</v>
      </c>
      <c r="N49" s="20" t="n">
        <v>46292</v>
      </c>
      <c r="O49" s="21" t="s">
        <v>46</v>
      </c>
      <c r="P49" s="14"/>
    </row>
    <row r="50" customFormat="false" ht="15" hidden="false" customHeight="false" outlineLevel="0" collapsed="false">
      <c r="A50" s="12" t="s">
        <v>18</v>
      </c>
      <c r="B50" s="12" t="s">
        <v>217</v>
      </c>
      <c r="C50" s="13" t="s">
        <v>218</v>
      </c>
      <c r="D50" s="14" t="s">
        <v>106</v>
      </c>
      <c r="E50" s="15" t="n">
        <v>64600</v>
      </c>
      <c r="F50" s="16" t="str">
        <f aca="false">IF(AND(H50&lt;&gt;"",H50&lt;Overzicht!$D$7),"Referentie",IF(E50="","Geen SW-cijfer",IF(E50&gt;=Overzicht!$D$5,"Prioriteit",IF(E50&gt;=Overzicht!$D$6,"Monitoren","Onder drempel"))))</f>
        <v>Monitoren</v>
      </c>
      <c r="G50" s="17" t="n">
        <v>-0.08</v>
      </c>
      <c r="H50" s="18" t="n">
        <v>5</v>
      </c>
      <c r="I50" s="19" t="n">
        <v>0.92</v>
      </c>
      <c r="J50" s="12" t="s">
        <v>219</v>
      </c>
      <c r="K50" s="14"/>
      <c r="L50" s="12" t="s">
        <v>45</v>
      </c>
      <c r="M50" s="20" t="n">
        <v>46292</v>
      </c>
      <c r="N50" s="20" t="n">
        <v>46292</v>
      </c>
      <c r="O50" s="21" t="s">
        <v>46</v>
      </c>
      <c r="P50" s="14"/>
    </row>
    <row r="51" customFormat="false" ht="15" hidden="false" customHeight="false" outlineLevel="0" collapsed="false">
      <c r="A51" s="12" t="s">
        <v>18</v>
      </c>
      <c r="B51" s="12" t="s">
        <v>220</v>
      </c>
      <c r="C51" s="13" t="s">
        <v>221</v>
      </c>
      <c r="D51" s="14" t="s">
        <v>101</v>
      </c>
      <c r="E51" s="15" t="n">
        <v>63300</v>
      </c>
      <c r="F51" s="16" t="str">
        <f aca="false">IF(AND(H51&lt;&gt;"",H51&lt;Overzicht!$D$7),"Referentie",IF(E51="","Geen SW-cijfer",IF(E51&gt;=Overzicht!$D$5,"Prioriteit",IF(E51&gt;=Overzicht!$D$6,"Monitoren","Onder drempel"))))</f>
        <v>Monitoren</v>
      </c>
      <c r="G51" s="17" t="n">
        <v>-0.5</v>
      </c>
      <c r="H51" s="18" t="n">
        <v>5</v>
      </c>
      <c r="I51" s="19" t="n">
        <v>0.84</v>
      </c>
      <c r="J51" s="12" t="s">
        <v>190</v>
      </c>
      <c r="K51" s="14"/>
      <c r="L51" s="12" t="s">
        <v>45</v>
      </c>
      <c r="M51" s="20" t="n">
        <v>46292</v>
      </c>
      <c r="N51" s="20" t="n">
        <v>46292</v>
      </c>
      <c r="O51" s="21" t="s">
        <v>46</v>
      </c>
      <c r="P51" s="14"/>
    </row>
    <row r="52" customFormat="false" ht="15" hidden="false" customHeight="false" outlineLevel="0" collapsed="false">
      <c r="A52" s="12" t="s">
        <v>18</v>
      </c>
      <c r="B52" s="12" t="s">
        <v>222</v>
      </c>
      <c r="C52" s="13" t="s">
        <v>223</v>
      </c>
      <c r="D52" s="14" t="s">
        <v>224</v>
      </c>
      <c r="E52" s="15" t="n">
        <v>50900</v>
      </c>
      <c r="F52" s="16" t="str">
        <f aca="false">IF(AND(H52&lt;&gt;"",H52&lt;Overzicht!$D$7),"Referentie",IF(E52="","Geen SW-cijfer",IF(E52&gt;=Overzicht!$D$5,"Prioriteit",IF(E52&gt;=Overzicht!$D$6,"Monitoren","Onder drempel"))))</f>
        <v>Monitoren</v>
      </c>
      <c r="G52" s="17" t="n">
        <v>0.03</v>
      </c>
      <c r="H52" s="18" t="n">
        <v>3</v>
      </c>
      <c r="I52" s="19" t="n">
        <v>0.05</v>
      </c>
      <c r="J52" s="12" t="s">
        <v>190</v>
      </c>
      <c r="K52" s="14"/>
      <c r="L52" s="12" t="s">
        <v>45</v>
      </c>
      <c r="M52" s="20" t="n">
        <v>46292</v>
      </c>
      <c r="N52" s="20" t="n">
        <v>46292</v>
      </c>
      <c r="O52" s="21" t="s">
        <v>46</v>
      </c>
      <c r="P52" s="14"/>
    </row>
    <row r="53" customFormat="false" ht="15" hidden="false" customHeight="false" outlineLevel="0" collapsed="false">
      <c r="A53" s="12" t="s">
        <v>18</v>
      </c>
      <c r="B53" s="12" t="s">
        <v>225</v>
      </c>
      <c r="C53" s="13" t="s">
        <v>226</v>
      </c>
      <c r="D53" s="14" t="s">
        <v>106</v>
      </c>
      <c r="E53" s="15" t="n">
        <v>34300</v>
      </c>
      <c r="F53" s="16" t="str">
        <f aca="false">IF(AND(H53&lt;&gt;"",H53&lt;Overzicht!$D$7),"Referentie",IF(E53="","Geen SW-cijfer",IF(E53&gt;=Overzicht!$D$5,"Prioriteit",IF(E53&gt;=Overzicht!$D$6,"Monitoren","Onder drempel"))))</f>
        <v>Monitoren</v>
      </c>
      <c r="G53" s="17" t="n">
        <v>-0.52</v>
      </c>
      <c r="H53" s="18" t="n">
        <v>5</v>
      </c>
      <c r="I53" s="19" t="n">
        <v>0</v>
      </c>
      <c r="J53" s="12" t="s">
        <v>190</v>
      </c>
      <c r="K53" s="14"/>
      <c r="L53" s="12" t="s">
        <v>45</v>
      </c>
      <c r="M53" s="20" t="n">
        <v>46292</v>
      </c>
      <c r="N53" s="20" t="n">
        <v>46292</v>
      </c>
      <c r="O53" s="21" t="s">
        <v>46</v>
      </c>
      <c r="P53" s="14"/>
    </row>
    <row r="54" customFormat="false" ht="15" hidden="false" customHeight="false" outlineLevel="0" collapsed="false">
      <c r="A54" s="12" t="s">
        <v>18</v>
      </c>
      <c r="B54" s="12" t="s">
        <v>227</v>
      </c>
      <c r="C54" s="13" t="s">
        <v>228</v>
      </c>
      <c r="D54" s="14" t="s">
        <v>194</v>
      </c>
      <c r="E54" s="15" t="n">
        <v>19800</v>
      </c>
      <c r="F54" s="16" t="str">
        <f aca="false">IF(AND(H54&lt;&gt;"",H54&lt;Overzicht!$D$7),"Referentie",IF(E54="","Geen SW-cijfer",IF(E54&gt;=Overzicht!$D$5,"Prioriteit",IF(E54&gt;=Overzicht!$D$6,"Monitoren","Onder drempel"))))</f>
        <v>Onder drempel</v>
      </c>
      <c r="G54" s="17" t="n">
        <v>-0.2</v>
      </c>
      <c r="H54" s="18" t="n">
        <v>4</v>
      </c>
      <c r="I54" s="19" t="n">
        <v>0.29</v>
      </c>
      <c r="J54" s="12" t="s">
        <v>229</v>
      </c>
      <c r="K54" s="14"/>
      <c r="L54" s="12" t="s">
        <v>52</v>
      </c>
      <c r="M54" s="20" t="n">
        <v>46292</v>
      </c>
      <c r="N54" s="20" t="n">
        <v>46292</v>
      </c>
      <c r="O54" s="21" t="s">
        <v>46</v>
      </c>
      <c r="P54" s="14"/>
    </row>
    <row r="55" customFormat="false" ht="15" hidden="false" customHeight="false" outlineLevel="0" collapsed="false">
      <c r="A55" s="12" t="s">
        <v>18</v>
      </c>
      <c r="B55" s="12" t="s">
        <v>230</v>
      </c>
      <c r="C55" s="13" t="s">
        <v>231</v>
      </c>
      <c r="D55" s="14" t="s">
        <v>101</v>
      </c>
      <c r="E55" s="15" t="n">
        <v>9100</v>
      </c>
      <c r="F55" s="16" t="str">
        <f aca="false">IF(AND(H55&lt;&gt;"",H55&lt;Overzicht!$D$7),"Referentie",IF(E55="","Geen SW-cijfer",IF(E55&gt;=Overzicht!$D$5,"Prioriteit",IF(E55&gt;=Overzicht!$D$6,"Monitoren","Onder drempel"))))</f>
        <v>Onder drempel</v>
      </c>
      <c r="G55" s="17" t="n">
        <v>-0.62</v>
      </c>
      <c r="H55" s="18" t="n">
        <v>5</v>
      </c>
      <c r="I55" s="19" t="n">
        <v>0.92</v>
      </c>
      <c r="J55" s="12" t="s">
        <v>190</v>
      </c>
      <c r="K55" s="14"/>
      <c r="L55" s="12" t="s">
        <v>108</v>
      </c>
      <c r="M55" s="20" t="n">
        <v>46292</v>
      </c>
      <c r="N55" s="20" t="n">
        <v>46292</v>
      </c>
      <c r="O55" s="21" t="s">
        <v>46</v>
      </c>
      <c r="P55" s="14"/>
    </row>
    <row r="56" customFormat="false" ht="23.85" hidden="false" customHeight="false" outlineLevel="0" collapsed="false">
      <c r="A56" s="12" t="s">
        <v>20</v>
      </c>
      <c r="B56" s="12" t="s">
        <v>232</v>
      </c>
      <c r="C56" s="13" t="s">
        <v>233</v>
      </c>
      <c r="D56" s="14" t="s">
        <v>101</v>
      </c>
      <c r="E56" s="15" t="n">
        <v>554200</v>
      </c>
      <c r="F56" s="16" t="str">
        <f aca="false">IF(AND(H56&lt;&gt;"",H56&lt;Overzicht!$D$7),"Referentie",IF(E56="","Geen SW-cijfer",IF(E56&gt;=Overzicht!$D$5,"Prioriteit",IF(E56&gt;=Overzicht!$D$6,"Monitoren","Onder drempel"))))</f>
        <v>Referentie</v>
      </c>
      <c r="G56" s="17" t="n">
        <v>-0.24</v>
      </c>
      <c r="H56" s="18" t="n">
        <v>1</v>
      </c>
      <c r="I56" s="19" t="n">
        <v>0.21</v>
      </c>
      <c r="J56" s="12" t="s">
        <v>234</v>
      </c>
      <c r="K56" s="14"/>
      <c r="L56" s="12" t="s">
        <v>45</v>
      </c>
      <c r="M56" s="20" t="n">
        <v>46292</v>
      </c>
      <c r="N56" s="20" t="n">
        <v>46292</v>
      </c>
      <c r="O56" s="21" t="s">
        <v>46</v>
      </c>
      <c r="P56" s="14" t="s">
        <v>235</v>
      </c>
    </row>
    <row r="57" customFormat="false" ht="23.85" hidden="false" customHeight="false" outlineLevel="0" collapsed="false">
      <c r="A57" s="12" t="s">
        <v>20</v>
      </c>
      <c r="B57" s="12" t="s">
        <v>236</v>
      </c>
      <c r="C57" s="13" t="s">
        <v>237</v>
      </c>
      <c r="D57" s="14" t="s">
        <v>106</v>
      </c>
      <c r="E57" s="15" t="n">
        <v>200500</v>
      </c>
      <c r="F57" s="16" t="str">
        <f aca="false">IF(AND(H57&lt;&gt;"",H57&lt;Overzicht!$D$7),"Referentie",IF(E57="","Geen SW-cijfer",IF(E57&gt;=Overzicht!$D$5,"Prioriteit",IF(E57&gt;=Overzicht!$D$6,"Monitoren","Onder drempel"))))</f>
        <v>Prioriteit</v>
      </c>
      <c r="G57" s="17" t="n">
        <v>-0.54</v>
      </c>
      <c r="H57" s="18" t="n">
        <v>5</v>
      </c>
      <c r="I57" s="19" t="n">
        <v>0.85</v>
      </c>
      <c r="J57" s="12" t="s">
        <v>238</v>
      </c>
      <c r="K57" s="14" t="s">
        <v>239</v>
      </c>
      <c r="L57" s="12" t="s">
        <v>45</v>
      </c>
      <c r="M57" s="20" t="n">
        <v>46292</v>
      </c>
      <c r="N57" s="20" t="n">
        <v>46292</v>
      </c>
      <c r="O57" s="21" t="s">
        <v>46</v>
      </c>
      <c r="P57" s="14" t="s">
        <v>240</v>
      </c>
    </row>
    <row r="58" customFormat="false" ht="23.85" hidden="false" customHeight="false" outlineLevel="0" collapsed="false">
      <c r="A58" s="12" t="s">
        <v>20</v>
      </c>
      <c r="B58" s="12" t="s">
        <v>241</v>
      </c>
      <c r="C58" s="13" t="s">
        <v>242</v>
      </c>
      <c r="D58" s="14" t="s">
        <v>194</v>
      </c>
      <c r="E58" s="15" t="n">
        <v>86900</v>
      </c>
      <c r="F58" s="16" t="str">
        <f aca="false">IF(AND(H58&lt;&gt;"",H58&lt;Overzicht!$D$7),"Referentie",IF(E58="","Geen SW-cijfer",IF(E58&gt;=Overzicht!$D$5,"Prioriteit",IF(E58&gt;=Overzicht!$D$6,"Monitoren","Onder drempel"))))</f>
        <v>Prioriteit</v>
      </c>
      <c r="G58" s="17" t="n">
        <v>-0.41</v>
      </c>
      <c r="H58" s="18" t="n">
        <v>5</v>
      </c>
      <c r="I58" s="19" t="n">
        <v>0.89</v>
      </c>
      <c r="J58" s="12" t="s">
        <v>243</v>
      </c>
      <c r="K58" s="14" t="s">
        <v>195</v>
      </c>
      <c r="L58" s="12" t="s">
        <v>45</v>
      </c>
      <c r="M58" s="20" t="n">
        <v>46292</v>
      </c>
      <c r="N58" s="20" t="n">
        <v>46292</v>
      </c>
      <c r="O58" s="21" t="s">
        <v>46</v>
      </c>
      <c r="P58" s="14" t="s">
        <v>244</v>
      </c>
    </row>
    <row r="59" customFormat="false" ht="15" hidden="false" customHeight="false" outlineLevel="0" collapsed="false">
      <c r="A59" s="12" t="s">
        <v>20</v>
      </c>
      <c r="B59" s="12" t="s">
        <v>245</v>
      </c>
      <c r="C59" s="13" t="s">
        <v>246</v>
      </c>
      <c r="D59" s="14" t="s">
        <v>101</v>
      </c>
      <c r="E59" s="15" t="n">
        <v>40800</v>
      </c>
      <c r="F59" s="16" t="str">
        <f aca="false">IF(AND(H59&lt;&gt;"",H59&lt;Overzicht!$D$7),"Referentie",IF(E59="","Geen SW-cijfer",IF(E59&gt;=Overzicht!$D$5,"Prioriteit",IF(E59&gt;=Overzicht!$D$6,"Monitoren","Onder drempel"))))</f>
        <v>Referentie</v>
      </c>
      <c r="G59" s="17" t="n">
        <v>-0.34</v>
      </c>
      <c r="H59" s="18" t="n">
        <v>1</v>
      </c>
      <c r="I59" s="19" t="n">
        <v>0.31</v>
      </c>
      <c r="J59" s="12" t="s">
        <v>247</v>
      </c>
      <c r="K59" s="14"/>
      <c r="L59" s="12" t="s">
        <v>45</v>
      </c>
      <c r="M59" s="20" t="n">
        <v>46292</v>
      </c>
      <c r="N59" s="20" t="n">
        <v>46292</v>
      </c>
      <c r="O59" s="21" t="s">
        <v>46</v>
      </c>
      <c r="P59" s="14" t="s">
        <v>248</v>
      </c>
    </row>
    <row r="60" customFormat="false" ht="23.85" hidden="false" customHeight="false" outlineLevel="0" collapsed="false">
      <c r="A60" s="12" t="s">
        <v>20</v>
      </c>
      <c r="B60" s="12" t="s">
        <v>249</v>
      </c>
      <c r="C60" s="13" t="s">
        <v>250</v>
      </c>
      <c r="D60" s="14" t="s">
        <v>194</v>
      </c>
      <c r="E60" s="15"/>
      <c r="F60" s="16" t="str">
        <f aca="false">IF(AND(H60&lt;&gt;"",H60&lt;Overzicht!$D$7),"Referentie",IF(E60="","Geen SW-cijfer",IF(E60&gt;=Overzicht!$D$5,"Prioriteit",IF(E60&gt;=Overzicht!$D$6,"Monitoren","Onder drempel"))))</f>
        <v>Geen SW-cijfer</v>
      </c>
      <c r="G60" s="17" t="n">
        <v>0.93</v>
      </c>
      <c r="H60" s="18" t="n">
        <v>5</v>
      </c>
      <c r="I60" s="19" t="n">
        <v>0.96</v>
      </c>
      <c r="J60" s="12" t="s">
        <v>251</v>
      </c>
      <c r="K60" s="14" t="s">
        <v>140</v>
      </c>
      <c r="L60" s="12" t="s">
        <v>108</v>
      </c>
      <c r="M60" s="20" t="n">
        <v>46292</v>
      </c>
      <c r="N60" s="20" t="n">
        <v>46292</v>
      </c>
      <c r="O60" s="21" t="s">
        <v>46</v>
      </c>
      <c r="P60" s="14" t="s">
        <v>252</v>
      </c>
    </row>
    <row r="61" customFormat="false" ht="15" hidden="false" customHeight="false" outlineLevel="0" collapsed="false">
      <c r="A61" s="12" t="s">
        <v>20</v>
      </c>
      <c r="B61" s="12" t="s">
        <v>253</v>
      </c>
      <c r="C61" s="13" t="s">
        <v>254</v>
      </c>
      <c r="D61" s="14" t="s">
        <v>194</v>
      </c>
      <c r="E61" s="15"/>
      <c r="F61" s="16" t="str">
        <f aca="false">IF(AND(H61&lt;&gt;"",H61&lt;Overzicht!$D$7),"Referentie",IF(E61="","Geen SW-cijfer",IF(E61&gt;=Overzicht!$D$5,"Prioriteit",IF(E61&gt;=Overzicht!$D$6,"Monitoren","Onder drempel"))))</f>
        <v>Geen SW-cijfer</v>
      </c>
      <c r="G61" s="17" t="n">
        <v>-0.03</v>
      </c>
      <c r="H61" s="18" t="n">
        <v>4</v>
      </c>
      <c r="I61" s="19" t="n">
        <v>0.95</v>
      </c>
      <c r="J61" s="12" t="s">
        <v>255</v>
      </c>
      <c r="K61" s="14"/>
      <c r="L61" s="12" t="s">
        <v>108</v>
      </c>
      <c r="M61" s="20" t="n">
        <v>46292</v>
      </c>
      <c r="N61" s="20" t="n">
        <v>46292</v>
      </c>
      <c r="O61" s="21" t="s">
        <v>46</v>
      </c>
      <c r="P61" s="14" t="s">
        <v>256</v>
      </c>
    </row>
    <row r="62" customFormat="false" ht="15" hidden="false" customHeight="false" outlineLevel="0" collapsed="false">
      <c r="A62" s="12" t="s">
        <v>20</v>
      </c>
      <c r="B62" s="12" t="s">
        <v>257</v>
      </c>
      <c r="C62" s="13" t="s">
        <v>258</v>
      </c>
      <c r="D62" s="14" t="s">
        <v>101</v>
      </c>
      <c r="E62" s="15"/>
      <c r="F62" s="16" t="str">
        <f aca="false">IF(AND(H62&lt;&gt;"",H62&lt;Overzicht!$D$7),"Referentie",IF(E62="","Geen SW-cijfer",IF(E62&gt;=Overzicht!$D$5,"Prioriteit",IF(E62&gt;=Overzicht!$D$6,"Monitoren","Onder drempel"))))</f>
        <v>Geen SW-cijfer</v>
      </c>
      <c r="G62" s="17" t="n">
        <v>1.74</v>
      </c>
      <c r="H62" s="18" t="n">
        <v>5</v>
      </c>
      <c r="I62" s="19" t="n">
        <v>0.94</v>
      </c>
      <c r="J62" s="12" t="s">
        <v>255</v>
      </c>
      <c r="K62" s="14"/>
      <c r="L62" s="12" t="s">
        <v>45</v>
      </c>
      <c r="M62" s="20" t="n">
        <v>46292</v>
      </c>
      <c r="N62" s="20" t="n">
        <v>46292</v>
      </c>
      <c r="O62" s="21" t="s">
        <v>46</v>
      </c>
      <c r="P62" s="14" t="s">
        <v>259</v>
      </c>
    </row>
  </sheetData>
  <autoFilter ref="A4:P62"/>
  <conditionalFormatting sqref="F5:F62">
    <cfRule type="expression" priority="2" aboveAverage="0" equalAverage="0" bottom="0" percent="0" rank="0" text="" dxfId="15">
      <formula>$F5="Prioriteit"</formula>
    </cfRule>
    <cfRule type="expression" priority="3" aboveAverage="0" equalAverage="0" bottom="0" percent="0" rank="0" text="" dxfId="16">
      <formula>$F5="Monitoren"</formula>
    </cfRule>
    <cfRule type="expression" priority="4" aboveAverage="0" equalAverage="0" bottom="0" percent="0" rank="0" text="" dxfId="17">
      <formula>$F5="Onder drempel"</formula>
    </cfRule>
    <cfRule type="expression" priority="5" aboveAverage="0" equalAverage="0" bottom="0" percent="0" rank="0" text="" dxfId="17">
      <formula>$F5="Geen SW-cijfer"</formula>
    </cfRule>
    <cfRule type="expression" priority="6" aboveAverage="0" equalAverage="0" bottom="0" percent="0" rank="0" text="" dxfId="18">
      <formula>$F5="Referentie"</formula>
    </cfRule>
  </conditionalFormatting>
  <conditionalFormatting sqref="E5:E62">
    <cfRule type="dataBar" priority="7">
      <dataBar showValue="1" minLength="10" maxLength="90">
        <cfvo type="num" val="0"/>
        <cfvo type="max" val="0"/>
        <color rgb="FF8EA9DB"/>
      </dataBar>
      <extLst>
        <ext xmlns:x14="http://schemas.microsoft.com/office/spreadsheetml/2009/9/main" uri="{B025F937-C7B1-47D3-B67F-A62EFF666E3E}">
          <x14:id>{92A7E221-C950-405A-A577-2BAD10E44AF3}</x14:id>
        </ext>
      </extLst>
    </cfRule>
  </conditionalFormatting>
  <conditionalFormatting sqref="G5:G62">
    <cfRule type="expression" priority="8" aboveAverage="0" equalAverage="0" bottom="0" percent="0" rank="0" text="" dxfId="19">
      <formula>AND($G5&lt;&gt;"",$G5&gt;=0.25)</formula>
    </cfRule>
    <cfRule type="expression" priority="9" aboveAverage="0" equalAverage="0" bottom="0" percent="0" rank="0" text="" dxfId="20">
      <formula>AND($G5&lt;&gt;"",$G5&lt;=-0.25)</formula>
    </cfRule>
  </conditionalFormatting>
  <dataValidations count="1">
    <dataValidation allowBlank="true" errorStyle="stop" operator="between" showDropDown="false" showErrorMessage="false" showInputMessage="false" sqref="O5:O62" type="list">
      <formula1>"nee,ja,deels"</formula1>
      <formula2>0</formula2>
    </dataValidation>
  </dataValidations>
  <hyperlinks>
    <hyperlink ref="C5" r:id="rId1" display="drune.de"/>
    <hyperlink ref="C6" r:id="rId2" display="karlson-berlin.com"/>
    <hyperlink ref="C7" r:id="rId3" display="nordheim-mode.de"/>
    <hyperlink ref="C8" r:id="rId4" display="leonboutique.co"/>
    <hyperlink ref="C9" r:id="rId5" display="lozendafashion.com"/>
    <hyperlink ref="C10" r:id="rId6" display="sassyclassy.de"/>
    <hyperlink ref="C11" r:id="rId7" display="risora-shop.de"/>
    <hyperlink ref="C12" r:id="rId8" display="velareehhaus.com"/>
    <hyperlink ref="C13" r:id="rId9" display="nordspur.de"/>
    <hyperlink ref="C14" r:id="rId10" display="falkenberg-mode.de"/>
    <hyperlink ref="C15" r:id="rId11" display="alpenkindmode.com"/>
    <hyperlink ref="C16" r:id="rId12" display="ladypolitan.de"/>
    <hyperlink ref="C17" r:id="rId13" display="walther-mode.com"/>
    <hyperlink ref="C18" r:id="rId14" display="nicole-modehaus.de"/>
    <hyperlink ref="C19" r:id="rId15" display="cecilelavelle.com"/>
    <hyperlink ref="C20" r:id="rId16" display="althausmode.com"/>
    <hyperlink ref="C21" r:id="rId17" display="annoboutique.com"/>
    <hyperlink ref="C22" r:id="rId18" display="bellarosamode.com"/>
    <hyperlink ref="C23" r:id="rId19" display="berlinlook.com"/>
    <hyperlink ref="C24" r:id="rId20" display="berlinsprime.de"/>
    <hyperlink ref="C25" r:id="rId21" display="chaps-herrenmode.de"/>
    <hyperlink ref="C26" r:id="rId22" display="fabrikstil.de"/>
    <hyperlink ref="C27" r:id="rId23" display="falkenhof-mode.de"/>
    <hyperlink ref="C28" r:id="rId24" display="herrmann-modehaus.de"/>
    <hyperlink ref="C29" r:id="rId25" display="kaufmannmode.de"/>
    <hyperlink ref="C30" r:id="rId26" display="kiezstudio.com"/>
    <hyperlink ref="C31" r:id="rId27" display="leipzigmodehausshop.de"/>
    <hyperlink ref="C32" r:id="rId28" display="mathilde-munchen.de"/>
    <hyperlink ref="C33" r:id="rId29" display="modehaushartmann.de"/>
    <hyperlink ref="C34" r:id="rId30" display="modemuller.de"/>
    <hyperlink ref="C35" r:id="rId31" display="nina-nicole.de"/>
    <hyperlink ref="C36" r:id="rId32" display="nordmodehaus.com"/>
    <hyperlink ref="C37" r:id="rId33" display="orthoday.de"/>
    <hyperlink ref="C38" r:id="rId34" display="sophia-zurich.com"/>
    <hyperlink ref="C39" r:id="rId35" display="stefanberlin.com"/>
    <hyperlink ref="C40" r:id="rId36" display="wittenwald.de"/>
    <hyperlink ref="C41" r:id="rId37" display="moreau-lyon.fr"/>
    <hyperlink ref="C42" r:id="rId38" display="lumiereboutique.fr"/>
    <hyperlink ref="C43" r:id="rId39" display="laurentmonaco.fr"/>
    <hyperlink ref="C44" r:id="rId40" display="lookdeparis.com"/>
    <hyperlink ref="C45" r:id="rId41" display="armandetfils.fr"/>
    <hyperlink ref="C46" r:id="rId42" display="boutique-paris.fr"/>
    <hyperlink ref="C47" r:id="rId43" display="cettesaison.fr"/>
    <hyperlink ref="C48" r:id="rId44" display="maisonvillard.fr"/>
    <hyperlink ref="C49" r:id="rId45" display="parisane.fr"/>
    <hyperlink ref="C50" r:id="rId46" display="dolce-paris.com"/>
    <hyperlink ref="C51" r:id="rId47" display="laurence-boutique.fr"/>
    <hyperlink ref="C52" r:id="rId48" display="jetta.fr"/>
    <hyperlink ref="C53" r:id="rId49" display="boutique-elegance-bordeaux.fr"/>
    <hyperlink ref="C54" r:id="rId50" display="frilivin.fr"/>
    <hyperlink ref="C55" r:id="rId51" display="evienne.fr"/>
    <hyperlink ref="C56" r:id="rId52" display="pinkboutique.co.uk"/>
    <hyperlink ref="C57" r:id="rId53" display="wilson-and-carter.com"/>
    <hyperlink ref="C58" r:id="rId54" display="wentworthlondon.com"/>
    <hyperlink ref="C59" r:id="rId55" display="femmeluxe.co.uk"/>
    <hyperlink ref="C60" r:id="rId56" display="chapslondon.co.uk"/>
    <hyperlink ref="C61" r:id="rId57" display="londonward.co"/>
    <hyperlink ref="C62" r:id="rId58" display="mayfairandfinch.co.u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59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A7E221-C950-405A-A577-2BAD10E44AF3}">
            <x14:dataBar minLength="10" maxLength="90" axisPosition="none" gradient="true">
              <x14:cfvo type="num">
                <xm:f>0</xm:f>
              </x14:cfvo>
              <x14:cfvo type="max"/>
              <x14:negativeFillColor rgb="FF8EA9DB"/>
              <x14:axisColor rgb="FF000000"/>
            </x14:dataBar>
          </x14:cfRule>
          <xm:sqref>E5:E62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B183"/>
    <pageSetUpPr fitToPage="true"/>
  </sheetPr>
  <dimension ref="A1:P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4"/>
    <col collapsed="false" customWidth="true" hidden="false" outlineLevel="0" max="3" min="3" style="0" width="28"/>
    <col collapsed="false" customWidth="true" hidden="false" outlineLevel="0" max="4" min="4" style="0" width="30"/>
    <col collapsed="false" customWidth="true" hidden="false" outlineLevel="0" max="6" min="5" style="0" width="15"/>
    <col collapsed="false" customWidth="true" hidden="false" outlineLevel="0" max="7" min="7" style="0" width="14"/>
    <col collapsed="false" customWidth="true" hidden="false" outlineLevel="0" max="9" min="8" style="0" width="11"/>
    <col collapsed="false" customWidth="true" hidden="false" outlineLevel="0" max="10" min="10" style="0" width="26"/>
    <col collapsed="false" customWidth="true" hidden="false" outlineLevel="0" max="11" min="11" style="0" width="30"/>
    <col collapsed="false" customWidth="true" hidden="false" outlineLevel="0" max="12" min="12" style="0" width="20"/>
    <col collapsed="false" customWidth="true" hidden="false" outlineLevel="0" max="15" min="13" style="0" width="13"/>
    <col collapsed="false" customWidth="true" hidden="false" outlineLevel="0" max="16" min="16" style="0" width="60"/>
  </cols>
  <sheetData>
    <row r="1" customFormat="false" ht="19.7" hidden="false" customHeight="false" outlineLevel="0" collapsed="false">
      <c r="A1" s="1" t="s">
        <v>16</v>
      </c>
    </row>
    <row r="2" customFormat="false" ht="15" hidden="false" customHeight="false" outlineLevel="0" collapsed="false">
      <c r="A2" s="2" t="s">
        <v>260</v>
      </c>
    </row>
    <row r="4" customFormat="false" ht="30" hidden="false" customHeight="true" outlineLevel="0" collapsed="false">
      <c r="A4" s="7" t="s">
        <v>6</v>
      </c>
      <c r="B4" s="7" t="s">
        <v>26</v>
      </c>
      <c r="C4" s="7" t="s">
        <v>27</v>
      </c>
      <c r="D4" s="7" t="s">
        <v>28</v>
      </c>
      <c r="E4" s="7" t="s">
        <v>29</v>
      </c>
      <c r="F4" s="7" t="s">
        <v>30</v>
      </c>
      <c r="G4" s="7" t="s">
        <v>31</v>
      </c>
      <c r="H4" s="7" t="s">
        <v>32</v>
      </c>
      <c r="I4" s="7" t="s">
        <v>33</v>
      </c>
      <c r="J4" s="7" t="s">
        <v>34</v>
      </c>
      <c r="K4" s="7" t="s">
        <v>35</v>
      </c>
      <c r="L4" s="7" t="s">
        <v>36</v>
      </c>
      <c r="M4" s="7" t="s">
        <v>37</v>
      </c>
      <c r="N4" s="7" t="s">
        <v>38</v>
      </c>
      <c r="O4" s="7" t="s">
        <v>39</v>
      </c>
      <c r="P4" s="7" t="s">
        <v>40</v>
      </c>
    </row>
    <row r="5" customFormat="false" ht="23.85" hidden="false" customHeight="false" outlineLevel="0" collapsed="false">
      <c r="A5" s="12" t="s">
        <v>16</v>
      </c>
      <c r="B5" s="12" t="s">
        <v>41</v>
      </c>
      <c r="C5" s="13" t="s">
        <v>42</v>
      </c>
      <c r="D5" s="14" t="s">
        <v>43</v>
      </c>
      <c r="E5" s="15" t="n">
        <v>1500000</v>
      </c>
      <c r="F5" s="16" t="str">
        <f aca="false">IF(AND(H5&lt;&gt;"",H5&lt;Overzicht!$D$7),"Referentie",IF(E5="","Geen SW-cijfer",IF(E5&gt;=Overzicht!$D$5,"Prioriteit",IF(E5&gt;=Overzicht!$D$6,"Monitoren","Onder drempel"))))</f>
        <v>Prioriteit</v>
      </c>
      <c r="G5" s="17" t="n">
        <v>2.09</v>
      </c>
      <c r="H5" s="18" t="n">
        <v>4</v>
      </c>
      <c r="I5" s="19" t="n">
        <v>0.95</v>
      </c>
      <c r="J5" s="12" t="s">
        <v>44</v>
      </c>
      <c r="K5" s="14"/>
      <c r="L5" s="12" t="s">
        <v>45</v>
      </c>
      <c r="M5" s="20" t="n">
        <v>46292</v>
      </c>
      <c r="N5" s="20" t="n">
        <v>46292</v>
      </c>
      <c r="O5" s="21" t="s">
        <v>46</v>
      </c>
      <c r="P5" s="14" t="s">
        <v>47</v>
      </c>
    </row>
    <row r="6" customFormat="false" ht="15" hidden="false" customHeight="false" outlineLevel="0" collapsed="false">
      <c r="A6" s="12" t="s">
        <v>16</v>
      </c>
      <c r="B6" s="12" t="s">
        <v>48</v>
      </c>
      <c r="C6" s="13" t="s">
        <v>49</v>
      </c>
      <c r="D6" s="14" t="s">
        <v>50</v>
      </c>
      <c r="E6" s="15" t="n">
        <v>981100</v>
      </c>
      <c r="F6" s="16" t="str">
        <f aca="false">IF(AND(H6&lt;&gt;"",H6&lt;Overzicht!$D$7),"Referentie",IF(E6="","Geen SW-cijfer",IF(E6&gt;=Overzicht!$D$5,"Prioriteit",IF(E6&gt;=Overzicht!$D$6,"Monitoren","Onder drempel"))))</f>
        <v>Prioriteit</v>
      </c>
      <c r="G6" s="17" t="n">
        <v>1.81</v>
      </c>
      <c r="H6" s="18" t="n">
        <v>5</v>
      </c>
      <c r="I6" s="19" t="n">
        <v>0.4</v>
      </c>
      <c r="J6" s="12" t="s">
        <v>51</v>
      </c>
      <c r="K6" s="14"/>
      <c r="L6" s="12" t="s">
        <v>52</v>
      </c>
      <c r="M6" s="20" t="n">
        <v>46292</v>
      </c>
      <c r="N6" s="20" t="n">
        <v>46292</v>
      </c>
      <c r="O6" s="21" t="s">
        <v>46</v>
      </c>
      <c r="P6" s="14" t="s">
        <v>53</v>
      </c>
    </row>
    <row r="7" customFormat="false" ht="15" hidden="false" customHeight="false" outlineLevel="0" collapsed="false">
      <c r="A7" s="12" t="s">
        <v>16</v>
      </c>
      <c r="B7" s="12" t="s">
        <v>54</v>
      </c>
      <c r="C7" s="13" t="s">
        <v>55</v>
      </c>
      <c r="D7" s="14" t="s">
        <v>56</v>
      </c>
      <c r="E7" s="15" t="n">
        <v>545500</v>
      </c>
      <c r="F7" s="16" t="str">
        <f aca="false">IF(AND(H7&lt;&gt;"",H7&lt;Overzicht!$D$7),"Referentie",IF(E7="","Geen SW-cijfer",IF(E7&gt;=Overzicht!$D$5,"Prioriteit",IF(E7&gt;=Overzicht!$D$6,"Monitoren","Onder drempel"))))</f>
        <v>Prioriteit</v>
      </c>
      <c r="G7" s="17" t="n">
        <v>-0.05</v>
      </c>
      <c r="H7" s="18" t="n">
        <v>5</v>
      </c>
      <c r="I7" s="19" t="n">
        <v>0.87</v>
      </c>
      <c r="J7" s="12" t="s">
        <v>57</v>
      </c>
      <c r="K7" s="14"/>
      <c r="L7" s="12" t="s">
        <v>45</v>
      </c>
      <c r="M7" s="20" t="n">
        <v>46292</v>
      </c>
      <c r="N7" s="20" t="n">
        <v>46292</v>
      </c>
      <c r="O7" s="21" t="s">
        <v>46</v>
      </c>
      <c r="P7" s="14" t="s">
        <v>58</v>
      </c>
    </row>
    <row r="8" customFormat="false" ht="15" hidden="false" customHeight="false" outlineLevel="0" collapsed="false">
      <c r="A8" s="12" t="s">
        <v>16</v>
      </c>
      <c r="B8" s="12" t="s">
        <v>59</v>
      </c>
      <c r="C8" s="13" t="s">
        <v>60</v>
      </c>
      <c r="D8" s="14" t="s">
        <v>61</v>
      </c>
      <c r="E8" s="15" t="n">
        <v>242600</v>
      </c>
      <c r="F8" s="16" t="str">
        <f aca="false">IF(AND(H8&lt;&gt;"",H8&lt;Overzicht!$D$7),"Referentie",IF(E8="","Geen SW-cijfer",IF(E8&gt;=Overzicht!$D$5,"Prioriteit",IF(E8&gt;=Overzicht!$D$6,"Monitoren","Onder drempel"))))</f>
        <v>Prioriteit</v>
      </c>
      <c r="G8" s="17" t="n">
        <v>-0.2</v>
      </c>
      <c r="H8" s="18" t="n">
        <v>5</v>
      </c>
      <c r="I8" s="19" t="n">
        <v>0.78</v>
      </c>
      <c r="J8" s="12" t="s">
        <v>62</v>
      </c>
      <c r="K8" s="14"/>
      <c r="L8" s="12" t="s">
        <v>63</v>
      </c>
      <c r="M8" s="20" t="n">
        <v>46292</v>
      </c>
      <c r="N8" s="20" t="n">
        <v>46292</v>
      </c>
      <c r="O8" s="21" t="s">
        <v>46</v>
      </c>
      <c r="P8" s="14" t="s">
        <v>64</v>
      </c>
    </row>
    <row r="9" customFormat="false" ht="15" hidden="false" customHeight="false" outlineLevel="0" collapsed="false">
      <c r="A9" s="12" t="s">
        <v>16</v>
      </c>
      <c r="B9" s="12" t="s">
        <v>65</v>
      </c>
      <c r="C9" s="13" t="s">
        <v>66</v>
      </c>
      <c r="D9" s="14" t="s">
        <v>67</v>
      </c>
      <c r="E9" s="15" t="n">
        <v>192100</v>
      </c>
      <c r="F9" s="16" t="str">
        <f aca="false">IF(AND(H9&lt;&gt;"",H9&lt;Overzicht!$D$7),"Referentie",IF(E9="","Geen SW-cijfer",IF(E9&gt;=Overzicht!$D$5,"Prioriteit",IF(E9&gt;=Overzicht!$D$6,"Monitoren","Onder drempel"))))</f>
        <v>Prioriteit</v>
      </c>
      <c r="G9" s="17" t="n">
        <v>-0.26</v>
      </c>
      <c r="H9" s="18" t="n">
        <v>5</v>
      </c>
      <c r="I9" s="19" t="n">
        <v>0.82</v>
      </c>
      <c r="J9" s="12" t="s">
        <v>68</v>
      </c>
      <c r="K9" s="14"/>
      <c r="L9" s="12" t="s">
        <v>45</v>
      </c>
      <c r="M9" s="20" t="n">
        <v>46292</v>
      </c>
      <c r="N9" s="20" t="n">
        <v>46292</v>
      </c>
      <c r="O9" s="21" t="s">
        <v>46</v>
      </c>
      <c r="P9" s="14" t="s">
        <v>69</v>
      </c>
    </row>
    <row r="10" customFormat="false" ht="15" hidden="false" customHeight="false" outlineLevel="0" collapsed="false">
      <c r="A10" s="12" t="s">
        <v>16</v>
      </c>
      <c r="B10" s="12" t="s">
        <v>70</v>
      </c>
      <c r="C10" s="13" t="s">
        <v>71</v>
      </c>
      <c r="D10" s="14" t="s">
        <v>72</v>
      </c>
      <c r="E10" s="15" t="n">
        <v>148600</v>
      </c>
      <c r="F10" s="16" t="str">
        <f aca="false">IF(AND(H10&lt;&gt;"",H10&lt;Overzicht!$D$7),"Referentie",IF(E10="","Geen SW-cijfer",IF(E10&gt;=Overzicht!$D$5,"Prioriteit",IF(E10&gt;=Overzicht!$D$6,"Monitoren","Onder drempel"))))</f>
        <v>Prioriteit</v>
      </c>
      <c r="G10" s="17" t="n">
        <v>0.16</v>
      </c>
      <c r="H10" s="18" t="n">
        <v>3</v>
      </c>
      <c r="I10" s="19" t="n">
        <v>0.29</v>
      </c>
      <c r="J10" s="12" t="s">
        <v>73</v>
      </c>
      <c r="K10" s="14"/>
      <c r="L10" s="12" t="s">
        <v>45</v>
      </c>
      <c r="M10" s="20" t="n">
        <v>46292</v>
      </c>
      <c r="N10" s="20" t="n">
        <v>46292</v>
      </c>
      <c r="O10" s="21" t="s">
        <v>46</v>
      </c>
      <c r="P10" s="14" t="s">
        <v>74</v>
      </c>
    </row>
    <row r="11" customFormat="false" ht="15" hidden="false" customHeight="false" outlineLevel="0" collapsed="false">
      <c r="A11" s="12" t="s">
        <v>16</v>
      </c>
      <c r="B11" s="12" t="s">
        <v>75</v>
      </c>
      <c r="C11" s="13" t="s">
        <v>76</v>
      </c>
      <c r="D11" s="14" t="s">
        <v>77</v>
      </c>
      <c r="E11" s="15" t="n">
        <v>121300</v>
      </c>
      <c r="F11" s="16" t="str">
        <f aca="false">IF(AND(H11&lt;&gt;"",H11&lt;Overzicht!$D$7),"Referentie",IF(E11="","Geen SW-cijfer",IF(E11&gt;=Overzicht!$D$5,"Prioriteit",IF(E11&gt;=Overzicht!$D$6,"Monitoren","Onder drempel"))))</f>
        <v>Prioriteit</v>
      </c>
      <c r="G11" s="17" t="n">
        <v>0.06</v>
      </c>
      <c r="H11" s="18" t="n">
        <v>4</v>
      </c>
      <c r="I11" s="19" t="n">
        <v>0.88</v>
      </c>
      <c r="J11" s="12" t="s">
        <v>78</v>
      </c>
      <c r="K11" s="14"/>
      <c r="L11" s="12" t="s">
        <v>45</v>
      </c>
      <c r="M11" s="20" t="n">
        <v>46292</v>
      </c>
      <c r="N11" s="20" t="n">
        <v>46292</v>
      </c>
      <c r="O11" s="21" t="s">
        <v>46</v>
      </c>
      <c r="P11" s="14" t="s">
        <v>79</v>
      </c>
    </row>
    <row r="12" customFormat="false" ht="15" hidden="false" customHeight="false" outlineLevel="0" collapsed="false">
      <c r="A12" s="12" t="s">
        <v>16</v>
      </c>
      <c r="B12" s="12" t="s">
        <v>80</v>
      </c>
      <c r="C12" s="13" t="s">
        <v>81</v>
      </c>
      <c r="D12" s="14" t="s">
        <v>82</v>
      </c>
      <c r="E12" s="15" t="n">
        <v>95300</v>
      </c>
      <c r="F12" s="16" t="str">
        <f aca="false">IF(AND(H12&lt;&gt;"",H12&lt;Overzicht!$D$7),"Referentie",IF(E12="","Geen SW-cijfer",IF(E12&gt;=Overzicht!$D$5,"Prioriteit",IF(E12&gt;=Overzicht!$D$6,"Monitoren","Onder drempel"))))</f>
        <v>Prioriteit</v>
      </c>
      <c r="G12" s="17" t="n">
        <v>0.47</v>
      </c>
      <c r="H12" s="18" t="n">
        <v>5</v>
      </c>
      <c r="I12" s="19" t="n">
        <v>0.77</v>
      </c>
      <c r="J12" s="12" t="s">
        <v>83</v>
      </c>
      <c r="K12" s="14"/>
      <c r="L12" s="12" t="s">
        <v>45</v>
      </c>
      <c r="M12" s="20" t="n">
        <v>46292</v>
      </c>
      <c r="N12" s="20" t="n">
        <v>46292</v>
      </c>
      <c r="O12" s="21" t="s">
        <v>46</v>
      </c>
      <c r="P12" s="14" t="s">
        <v>84</v>
      </c>
    </row>
    <row r="13" customFormat="false" ht="15" hidden="false" customHeight="false" outlineLevel="0" collapsed="false">
      <c r="A13" s="12" t="s">
        <v>16</v>
      </c>
      <c r="B13" s="12" t="s">
        <v>85</v>
      </c>
      <c r="C13" s="13" t="s">
        <v>86</v>
      </c>
      <c r="D13" s="14" t="s">
        <v>87</v>
      </c>
      <c r="E13" s="15" t="n">
        <v>89000</v>
      </c>
      <c r="F13" s="16" t="str">
        <f aca="false">IF(AND(H13&lt;&gt;"",H13&lt;Overzicht!$D$7),"Referentie",IF(E13="","Geen SW-cijfer",IF(E13&gt;=Overzicht!$D$5,"Prioriteit",IF(E13&gt;=Overzicht!$D$6,"Monitoren","Onder drempel"))))</f>
        <v>Prioriteit</v>
      </c>
      <c r="G13" s="17" t="n">
        <v>0.2</v>
      </c>
      <c r="H13" s="18" t="n">
        <v>5</v>
      </c>
      <c r="I13" s="19" t="n">
        <v>0.87</v>
      </c>
      <c r="J13" s="12" t="s">
        <v>88</v>
      </c>
      <c r="K13" s="14"/>
      <c r="L13" s="12" t="s">
        <v>45</v>
      </c>
      <c r="M13" s="20" t="n">
        <v>46292</v>
      </c>
      <c r="N13" s="20" t="n">
        <v>46292</v>
      </c>
      <c r="O13" s="21" t="s">
        <v>46</v>
      </c>
      <c r="P13" s="14" t="s">
        <v>89</v>
      </c>
    </row>
    <row r="14" customFormat="false" ht="15" hidden="false" customHeight="false" outlineLevel="0" collapsed="false">
      <c r="A14" s="12" t="s">
        <v>16</v>
      </c>
      <c r="B14" s="12" t="s">
        <v>90</v>
      </c>
      <c r="C14" s="13" t="s">
        <v>91</v>
      </c>
      <c r="D14" s="14" t="s">
        <v>92</v>
      </c>
      <c r="E14" s="15" t="n">
        <v>83600</v>
      </c>
      <c r="F14" s="16" t="str">
        <f aca="false">IF(AND(H14&lt;&gt;"",H14&lt;Overzicht!$D$7),"Referentie",IF(E14="","Geen SW-cijfer",IF(E14&gt;=Overzicht!$D$5,"Prioriteit",IF(E14&gt;=Overzicht!$D$6,"Monitoren","Onder drempel"))))</f>
        <v>Prioriteit</v>
      </c>
      <c r="G14" s="17" t="n">
        <v>0.22</v>
      </c>
      <c r="H14" s="18" t="n">
        <v>5</v>
      </c>
      <c r="I14" s="19" t="n">
        <v>0</v>
      </c>
      <c r="J14" s="12" t="s">
        <v>51</v>
      </c>
      <c r="K14" s="14"/>
      <c r="L14" s="12" t="s">
        <v>45</v>
      </c>
      <c r="M14" s="20" t="n">
        <v>46292</v>
      </c>
      <c r="N14" s="20" t="n">
        <v>46292</v>
      </c>
      <c r="O14" s="21" t="s">
        <v>46</v>
      </c>
      <c r="P14" s="14" t="s">
        <v>93</v>
      </c>
    </row>
    <row r="15" customFormat="false" ht="15" hidden="false" customHeight="false" outlineLevel="0" collapsed="false">
      <c r="A15" s="12" t="s">
        <v>16</v>
      </c>
      <c r="B15" s="12" t="s">
        <v>94</v>
      </c>
      <c r="C15" s="13" t="s">
        <v>95</v>
      </c>
      <c r="D15" s="14" t="s">
        <v>96</v>
      </c>
      <c r="E15" s="15" t="n">
        <v>76900</v>
      </c>
      <c r="F15" s="16" t="str">
        <f aca="false">IF(AND(H15&lt;&gt;"",H15&lt;Overzicht!$D$7),"Referentie",IF(E15="","Geen SW-cijfer",IF(E15&gt;=Overzicht!$D$5,"Prioriteit",IF(E15&gt;=Overzicht!$D$6,"Monitoren","Onder drempel"))))</f>
        <v>Prioriteit</v>
      </c>
      <c r="G15" s="17" t="n">
        <v>-0.33</v>
      </c>
      <c r="H15" s="18" t="n">
        <v>5</v>
      </c>
      <c r="I15" s="19" t="n">
        <v>0.8</v>
      </c>
      <c r="J15" s="12" t="s">
        <v>97</v>
      </c>
      <c r="K15" s="14"/>
      <c r="L15" s="12" t="s">
        <v>52</v>
      </c>
      <c r="M15" s="20" t="n">
        <v>46292</v>
      </c>
      <c r="N15" s="20" t="n">
        <v>46292</v>
      </c>
      <c r="O15" s="21" t="s">
        <v>46</v>
      </c>
      <c r="P15" s="14" t="s">
        <v>98</v>
      </c>
    </row>
    <row r="16" customFormat="false" ht="15" hidden="false" customHeight="false" outlineLevel="0" collapsed="false">
      <c r="A16" s="12" t="s">
        <v>16</v>
      </c>
      <c r="B16" s="12" t="s">
        <v>99</v>
      </c>
      <c r="C16" s="13" t="s">
        <v>100</v>
      </c>
      <c r="D16" s="14" t="s">
        <v>101</v>
      </c>
      <c r="E16" s="15" t="n">
        <v>67000</v>
      </c>
      <c r="F16" s="16" t="str">
        <f aca="false">IF(AND(H16&lt;&gt;"",H16&lt;Overzicht!$D$7),"Referentie",IF(E16="","Geen SW-cijfer",IF(E16&gt;=Overzicht!$D$5,"Prioriteit",IF(E16&gt;=Overzicht!$D$6,"Monitoren","Onder drempel"))))</f>
        <v>Monitoren</v>
      </c>
      <c r="G16" s="17" t="n">
        <v>-0.27</v>
      </c>
      <c r="H16" s="18" t="n">
        <v>3</v>
      </c>
      <c r="I16" s="19" t="n">
        <v>0.16</v>
      </c>
      <c r="J16" s="12" t="s">
        <v>102</v>
      </c>
      <c r="K16" s="14"/>
      <c r="L16" s="12" t="s">
        <v>45</v>
      </c>
      <c r="M16" s="20" t="n">
        <v>46292</v>
      </c>
      <c r="N16" s="20" t="n">
        <v>46292</v>
      </c>
      <c r="O16" s="21" t="s">
        <v>46</v>
      </c>
      <c r="P16" s="14" t="s">
        <v>103</v>
      </c>
    </row>
    <row r="17" customFormat="false" ht="15" hidden="false" customHeight="false" outlineLevel="0" collapsed="false">
      <c r="A17" s="12" t="s">
        <v>16</v>
      </c>
      <c r="B17" s="12" t="s">
        <v>104</v>
      </c>
      <c r="C17" s="13" t="s">
        <v>105</v>
      </c>
      <c r="D17" s="14" t="s">
        <v>106</v>
      </c>
      <c r="E17" s="15" t="n">
        <v>41500</v>
      </c>
      <c r="F17" s="16" t="str">
        <f aca="false">IF(AND(H17&lt;&gt;"",H17&lt;Overzicht!$D$7),"Referentie",IF(E17="","Geen SW-cijfer",IF(E17&gt;=Overzicht!$D$5,"Prioriteit",IF(E17&gt;=Overzicht!$D$6,"Monitoren","Onder drempel"))))</f>
        <v>Monitoren</v>
      </c>
      <c r="G17" s="17" t="n">
        <v>5.9</v>
      </c>
      <c r="H17" s="18" t="n">
        <v>5</v>
      </c>
      <c r="I17" s="19" t="n">
        <v>0.83</v>
      </c>
      <c r="J17" s="12" t="s">
        <v>107</v>
      </c>
      <c r="K17" s="14"/>
      <c r="L17" s="12" t="s">
        <v>108</v>
      </c>
      <c r="M17" s="20" t="n">
        <v>46292</v>
      </c>
      <c r="N17" s="20" t="n">
        <v>46292</v>
      </c>
      <c r="O17" s="21" t="s">
        <v>46</v>
      </c>
      <c r="P17" s="14" t="s">
        <v>109</v>
      </c>
    </row>
    <row r="18" customFormat="false" ht="15" hidden="false" customHeight="false" outlineLevel="0" collapsed="false">
      <c r="A18" s="12" t="s">
        <v>16</v>
      </c>
      <c r="B18" s="12" t="s">
        <v>110</v>
      </c>
      <c r="C18" s="13" t="s">
        <v>111</v>
      </c>
      <c r="D18" s="14" t="s">
        <v>106</v>
      </c>
      <c r="E18" s="15" t="n">
        <v>32400</v>
      </c>
      <c r="F18" s="16" t="str">
        <f aca="false">IF(AND(H18&lt;&gt;"",H18&lt;Overzicht!$D$7),"Referentie",IF(E18="","Geen SW-cijfer",IF(E18&gt;=Overzicht!$D$5,"Prioriteit",IF(E18&gt;=Overzicht!$D$6,"Monitoren","Onder drempel"))))</f>
        <v>Monitoren</v>
      </c>
      <c r="G18" s="17" t="n">
        <v>-0.04</v>
      </c>
      <c r="H18" s="18" t="n">
        <v>5</v>
      </c>
      <c r="I18" s="19"/>
      <c r="J18" s="12"/>
      <c r="K18" s="14" t="s">
        <v>112</v>
      </c>
      <c r="L18" s="12" t="s">
        <v>45</v>
      </c>
      <c r="M18" s="20" t="n">
        <v>46292</v>
      </c>
      <c r="N18" s="20" t="n">
        <v>46292</v>
      </c>
      <c r="O18" s="21" t="s">
        <v>46</v>
      </c>
      <c r="P18" s="14" t="s">
        <v>113</v>
      </c>
    </row>
    <row r="19" customFormat="false" ht="15" hidden="false" customHeight="false" outlineLevel="0" collapsed="false">
      <c r="A19" s="12" t="s">
        <v>16</v>
      </c>
      <c r="B19" s="12" t="s">
        <v>114</v>
      </c>
      <c r="C19" s="13" t="s">
        <v>115</v>
      </c>
      <c r="D19" s="14" t="s">
        <v>116</v>
      </c>
      <c r="E19" s="15" t="n">
        <v>26200</v>
      </c>
      <c r="F19" s="16" t="str">
        <f aca="false">IF(AND(H19&lt;&gt;"",H19&lt;Overzicht!$D$7),"Referentie",IF(E19="","Geen SW-cijfer",IF(E19&gt;=Overzicht!$D$5,"Prioriteit",IF(E19&gt;=Overzicht!$D$6,"Monitoren","Onder drempel"))))</f>
        <v>Monitoren</v>
      </c>
      <c r="G19" s="17" t="n">
        <v>-0.6</v>
      </c>
      <c r="H19" s="18" t="n">
        <v>5</v>
      </c>
      <c r="I19" s="19" t="n">
        <v>0.73</v>
      </c>
      <c r="J19" s="12" t="s">
        <v>117</v>
      </c>
      <c r="K19" s="14"/>
      <c r="L19" s="12" t="s">
        <v>108</v>
      </c>
      <c r="M19" s="20" t="n">
        <v>46292</v>
      </c>
      <c r="N19" s="20" t="n">
        <v>46292</v>
      </c>
      <c r="O19" s="21" t="s">
        <v>46</v>
      </c>
      <c r="P19" s="14" t="s">
        <v>118</v>
      </c>
    </row>
    <row r="20" customFormat="false" ht="23.85" hidden="false" customHeight="false" outlineLevel="0" collapsed="false">
      <c r="A20" s="12" t="s">
        <v>16</v>
      </c>
      <c r="B20" s="12" t="s">
        <v>119</v>
      </c>
      <c r="C20" s="13" t="s">
        <v>120</v>
      </c>
      <c r="D20" s="14" t="s">
        <v>121</v>
      </c>
      <c r="E20" s="15"/>
      <c r="F20" s="16" t="str">
        <f aca="false">IF(AND(H20&lt;&gt;"",H20&lt;Overzicht!$D$7),"Referentie",IF(E20="","Geen SW-cijfer",IF(E20&gt;=Overzicht!$D$5,"Prioriteit",IF(E20&gt;=Overzicht!$D$6,"Monitoren","Onder drempel"))))</f>
        <v>Geen SW-cijfer</v>
      </c>
      <c r="G20" s="17"/>
      <c r="H20" s="18"/>
      <c r="I20" s="19"/>
      <c r="J20" s="12"/>
      <c r="K20" s="14" t="s">
        <v>122</v>
      </c>
      <c r="L20" s="12" t="s">
        <v>123</v>
      </c>
      <c r="M20" s="20" t="n">
        <v>46292</v>
      </c>
      <c r="N20" s="20" t="n">
        <v>46292</v>
      </c>
      <c r="O20" s="21" t="s">
        <v>46</v>
      </c>
      <c r="P20" s="14" t="s">
        <v>124</v>
      </c>
    </row>
    <row r="21" customFormat="false" ht="15" hidden="false" customHeight="false" outlineLevel="0" collapsed="false">
      <c r="A21" s="12" t="s">
        <v>16</v>
      </c>
      <c r="B21" s="12" t="s">
        <v>125</v>
      </c>
      <c r="C21" s="13" t="s">
        <v>126</v>
      </c>
      <c r="D21" s="14" t="s">
        <v>121</v>
      </c>
      <c r="E21" s="15"/>
      <c r="F21" s="16" t="str">
        <f aca="false">IF(AND(H21&lt;&gt;"",H21&lt;Overzicht!$D$7),"Referentie",IF(E21="","Geen SW-cijfer",IF(E21&gt;=Overzicht!$D$5,"Prioriteit",IF(E21&gt;=Overzicht!$D$6,"Monitoren","Onder drempel"))))</f>
        <v>Geen SW-cijfer</v>
      </c>
      <c r="G21" s="17"/>
      <c r="H21" s="18"/>
      <c r="I21" s="19"/>
      <c r="J21" s="12"/>
      <c r="K21" s="14"/>
      <c r="L21" s="12" t="s">
        <v>123</v>
      </c>
      <c r="M21" s="20" t="n">
        <v>46292</v>
      </c>
      <c r="N21" s="20" t="n">
        <v>46292</v>
      </c>
      <c r="O21" s="21" t="s">
        <v>46</v>
      </c>
      <c r="P21" s="14" t="s">
        <v>127</v>
      </c>
    </row>
    <row r="22" customFormat="false" ht="15" hidden="false" customHeight="false" outlineLevel="0" collapsed="false">
      <c r="A22" s="12" t="s">
        <v>16</v>
      </c>
      <c r="B22" s="12" t="s">
        <v>128</v>
      </c>
      <c r="C22" s="13" t="s">
        <v>129</v>
      </c>
      <c r="D22" s="14" t="s">
        <v>121</v>
      </c>
      <c r="E22" s="15"/>
      <c r="F22" s="16" t="str">
        <f aca="false">IF(AND(H22&lt;&gt;"",H22&lt;Overzicht!$D$7),"Referentie",IF(E22="","Geen SW-cijfer",IF(E22&gt;=Overzicht!$D$5,"Prioriteit",IF(E22&gt;=Overzicht!$D$6,"Monitoren","Onder drempel"))))</f>
        <v>Geen SW-cijfer</v>
      </c>
      <c r="G22" s="17"/>
      <c r="H22" s="18"/>
      <c r="I22" s="19"/>
      <c r="J22" s="12" t="s">
        <v>130</v>
      </c>
      <c r="K22" s="14"/>
      <c r="L22" s="12" t="s">
        <v>123</v>
      </c>
      <c r="M22" s="20" t="n">
        <v>46292</v>
      </c>
      <c r="N22" s="20" t="n">
        <v>46292</v>
      </c>
      <c r="O22" s="21" t="s">
        <v>46</v>
      </c>
      <c r="P22" s="14" t="s">
        <v>131</v>
      </c>
    </row>
    <row r="23" customFormat="false" ht="15" hidden="false" customHeight="false" outlineLevel="0" collapsed="false">
      <c r="A23" s="12" t="s">
        <v>16</v>
      </c>
      <c r="B23" s="12" t="s">
        <v>132</v>
      </c>
      <c r="C23" s="13" t="s">
        <v>133</v>
      </c>
      <c r="D23" s="14" t="s">
        <v>121</v>
      </c>
      <c r="E23" s="15"/>
      <c r="F23" s="16" t="str">
        <f aca="false">IF(AND(H23&lt;&gt;"",H23&lt;Overzicht!$D$7),"Referentie",IF(E23="","Geen SW-cijfer",IF(E23&gt;=Overzicht!$D$5,"Prioriteit",IF(E23&gt;=Overzicht!$D$6,"Monitoren","Onder drempel"))))</f>
        <v>Geen SW-cijfer</v>
      </c>
      <c r="G23" s="17"/>
      <c r="H23" s="18"/>
      <c r="I23" s="19"/>
      <c r="J23" s="12" t="s">
        <v>134</v>
      </c>
      <c r="K23" s="14"/>
      <c r="L23" s="12" t="s">
        <v>123</v>
      </c>
      <c r="M23" s="20" t="n">
        <v>46292</v>
      </c>
      <c r="N23" s="20" t="n">
        <v>46292</v>
      </c>
      <c r="O23" s="21" t="s">
        <v>46</v>
      </c>
      <c r="P23" s="14" t="s">
        <v>127</v>
      </c>
    </row>
    <row r="24" customFormat="false" ht="15" hidden="false" customHeight="false" outlineLevel="0" collapsed="false">
      <c r="A24" s="12" t="s">
        <v>16</v>
      </c>
      <c r="B24" s="12" t="s">
        <v>135</v>
      </c>
      <c r="C24" s="13" t="s">
        <v>136</v>
      </c>
      <c r="D24" s="14" t="s">
        <v>121</v>
      </c>
      <c r="E24" s="15"/>
      <c r="F24" s="16" t="str">
        <f aca="false">IF(AND(H24&lt;&gt;"",H24&lt;Overzicht!$D$7),"Referentie",IF(E24="","Geen SW-cijfer",IF(E24&gt;=Overzicht!$D$5,"Prioriteit",IF(E24&gt;=Overzicht!$D$6,"Monitoren","Onder drempel"))))</f>
        <v>Geen SW-cijfer</v>
      </c>
      <c r="G24" s="17"/>
      <c r="H24" s="18"/>
      <c r="I24" s="19"/>
      <c r="J24" s="12"/>
      <c r="K24" s="14"/>
      <c r="L24" s="12" t="s">
        <v>123</v>
      </c>
      <c r="M24" s="20" t="n">
        <v>46292</v>
      </c>
      <c r="N24" s="20" t="n">
        <v>46292</v>
      </c>
      <c r="O24" s="21" t="s">
        <v>46</v>
      </c>
      <c r="P24" s="14" t="s">
        <v>137</v>
      </c>
    </row>
    <row r="25" customFormat="false" ht="23.85" hidden="false" customHeight="false" outlineLevel="0" collapsed="false">
      <c r="A25" s="12" t="s">
        <v>16</v>
      </c>
      <c r="B25" s="12" t="s">
        <v>138</v>
      </c>
      <c r="C25" s="13" t="s">
        <v>139</v>
      </c>
      <c r="D25" s="14" t="s">
        <v>121</v>
      </c>
      <c r="E25" s="15"/>
      <c r="F25" s="16" t="str">
        <f aca="false">IF(AND(H25&lt;&gt;"",H25&lt;Overzicht!$D$7),"Referentie",IF(E25="","Geen SW-cijfer",IF(E25&gt;=Overzicht!$D$5,"Prioriteit",IF(E25&gt;=Overzicht!$D$6,"Monitoren","Onder drempel"))))</f>
        <v>Geen SW-cijfer</v>
      </c>
      <c r="G25" s="17"/>
      <c r="H25" s="18"/>
      <c r="I25" s="19"/>
      <c r="J25" s="12"/>
      <c r="K25" s="14" t="s">
        <v>140</v>
      </c>
      <c r="L25" s="12" t="s">
        <v>123</v>
      </c>
      <c r="M25" s="20" t="n">
        <v>46292</v>
      </c>
      <c r="N25" s="20" t="n">
        <v>46292</v>
      </c>
      <c r="O25" s="21" t="s">
        <v>46</v>
      </c>
      <c r="P25" s="14" t="s">
        <v>137</v>
      </c>
    </row>
    <row r="26" customFormat="false" ht="23.85" hidden="false" customHeight="false" outlineLevel="0" collapsed="false">
      <c r="A26" s="12" t="s">
        <v>16</v>
      </c>
      <c r="B26" s="12" t="s">
        <v>141</v>
      </c>
      <c r="C26" s="13" t="s">
        <v>142</v>
      </c>
      <c r="D26" s="14" t="s">
        <v>121</v>
      </c>
      <c r="E26" s="15"/>
      <c r="F26" s="16" t="str">
        <f aca="false">IF(AND(H26&lt;&gt;"",H26&lt;Overzicht!$D$7),"Referentie",IF(E26="","Geen SW-cijfer",IF(E26&gt;=Overzicht!$D$5,"Prioriteit",IF(E26&gt;=Overzicht!$D$6,"Monitoren","Onder drempel"))))</f>
        <v>Geen SW-cijfer</v>
      </c>
      <c r="G26" s="17"/>
      <c r="H26" s="18"/>
      <c r="I26" s="19"/>
      <c r="J26" s="12"/>
      <c r="K26" s="14" t="s">
        <v>122</v>
      </c>
      <c r="L26" s="12" t="s">
        <v>123</v>
      </c>
      <c r="M26" s="20" t="n">
        <v>46292</v>
      </c>
      <c r="N26" s="20" t="n">
        <v>46292</v>
      </c>
      <c r="O26" s="21" t="s">
        <v>46</v>
      </c>
      <c r="P26" s="14" t="s">
        <v>124</v>
      </c>
    </row>
    <row r="27" customFormat="false" ht="15" hidden="false" customHeight="false" outlineLevel="0" collapsed="false">
      <c r="A27" s="12" t="s">
        <v>16</v>
      </c>
      <c r="B27" s="12" t="s">
        <v>143</v>
      </c>
      <c r="C27" s="13" t="s">
        <v>144</v>
      </c>
      <c r="D27" s="14" t="s">
        <v>121</v>
      </c>
      <c r="E27" s="15"/>
      <c r="F27" s="16" t="str">
        <f aca="false">IF(AND(H27&lt;&gt;"",H27&lt;Overzicht!$D$7),"Referentie",IF(E27="","Geen SW-cijfer",IF(E27&gt;=Overzicht!$D$5,"Prioriteit",IF(E27&gt;=Overzicht!$D$6,"Monitoren","Onder drempel"))))</f>
        <v>Geen SW-cijfer</v>
      </c>
      <c r="G27" s="17"/>
      <c r="H27" s="18"/>
      <c r="I27" s="19"/>
      <c r="J27" s="12" t="s">
        <v>51</v>
      </c>
      <c r="K27" s="14"/>
      <c r="L27" s="12" t="s">
        <v>123</v>
      </c>
      <c r="M27" s="20" t="n">
        <v>46292</v>
      </c>
      <c r="N27" s="20" t="n">
        <v>46292</v>
      </c>
      <c r="O27" s="21" t="s">
        <v>46</v>
      </c>
      <c r="P27" s="14" t="s">
        <v>145</v>
      </c>
    </row>
    <row r="28" customFormat="false" ht="15" hidden="false" customHeight="false" outlineLevel="0" collapsed="false">
      <c r="A28" s="12" t="s">
        <v>16</v>
      </c>
      <c r="B28" s="12" t="s">
        <v>146</v>
      </c>
      <c r="C28" s="13" t="s">
        <v>147</v>
      </c>
      <c r="D28" s="14" t="s">
        <v>121</v>
      </c>
      <c r="E28" s="15"/>
      <c r="F28" s="16" t="str">
        <f aca="false">IF(AND(H28&lt;&gt;"",H28&lt;Overzicht!$D$7),"Referentie",IF(E28="","Geen SW-cijfer",IF(E28&gt;=Overzicht!$D$5,"Prioriteit",IF(E28&gt;=Overzicht!$D$6,"Monitoren","Onder drempel"))))</f>
        <v>Geen SW-cijfer</v>
      </c>
      <c r="G28" s="17"/>
      <c r="H28" s="18"/>
      <c r="I28" s="19"/>
      <c r="J28" s="12"/>
      <c r="K28" s="14"/>
      <c r="L28" s="12" t="s">
        <v>123</v>
      </c>
      <c r="M28" s="20" t="n">
        <v>46292</v>
      </c>
      <c r="N28" s="20" t="n">
        <v>46292</v>
      </c>
      <c r="O28" s="21" t="s">
        <v>46</v>
      </c>
      <c r="P28" s="14" t="s">
        <v>127</v>
      </c>
    </row>
    <row r="29" customFormat="false" ht="15" hidden="false" customHeight="false" outlineLevel="0" collapsed="false">
      <c r="A29" s="12" t="s">
        <v>16</v>
      </c>
      <c r="B29" s="12" t="s">
        <v>148</v>
      </c>
      <c r="C29" s="13" t="s">
        <v>149</v>
      </c>
      <c r="D29" s="14" t="s">
        <v>121</v>
      </c>
      <c r="E29" s="15"/>
      <c r="F29" s="16" t="str">
        <f aca="false">IF(AND(H29&lt;&gt;"",H29&lt;Overzicht!$D$7),"Referentie",IF(E29="","Geen SW-cijfer",IF(E29&gt;=Overzicht!$D$5,"Prioriteit",IF(E29&gt;=Overzicht!$D$6,"Monitoren","Onder drempel"))))</f>
        <v>Geen SW-cijfer</v>
      </c>
      <c r="G29" s="17"/>
      <c r="H29" s="18"/>
      <c r="I29" s="19"/>
      <c r="J29" s="12"/>
      <c r="K29" s="14" t="s">
        <v>150</v>
      </c>
      <c r="L29" s="12" t="s">
        <v>123</v>
      </c>
      <c r="M29" s="20" t="n">
        <v>46292</v>
      </c>
      <c r="N29" s="20" t="n">
        <v>46292</v>
      </c>
      <c r="O29" s="21" t="s">
        <v>46</v>
      </c>
      <c r="P29" s="14" t="s">
        <v>151</v>
      </c>
    </row>
    <row r="30" customFormat="false" ht="15" hidden="false" customHeight="false" outlineLevel="0" collapsed="false">
      <c r="A30" s="12" t="s">
        <v>16</v>
      </c>
      <c r="B30" s="12" t="s">
        <v>152</v>
      </c>
      <c r="C30" s="13" t="s">
        <v>153</v>
      </c>
      <c r="D30" s="14" t="s">
        <v>121</v>
      </c>
      <c r="E30" s="15"/>
      <c r="F30" s="16" t="str">
        <f aca="false">IF(AND(H30&lt;&gt;"",H30&lt;Overzicht!$D$7),"Referentie",IF(E30="","Geen SW-cijfer",IF(E30&gt;=Overzicht!$D$5,"Prioriteit",IF(E30&gt;=Overzicht!$D$6,"Monitoren","Onder drempel"))))</f>
        <v>Geen SW-cijfer</v>
      </c>
      <c r="G30" s="17"/>
      <c r="H30" s="18"/>
      <c r="I30" s="19"/>
      <c r="J30" s="12"/>
      <c r="K30" s="14"/>
      <c r="L30" s="12" t="s">
        <v>123</v>
      </c>
      <c r="M30" s="20" t="n">
        <v>46292</v>
      </c>
      <c r="N30" s="20" t="n">
        <v>46292</v>
      </c>
      <c r="O30" s="21" t="s">
        <v>46</v>
      </c>
      <c r="P30" s="14" t="s">
        <v>137</v>
      </c>
    </row>
    <row r="31" customFormat="false" ht="23.85" hidden="false" customHeight="false" outlineLevel="0" collapsed="false">
      <c r="A31" s="12" t="s">
        <v>16</v>
      </c>
      <c r="B31" s="12" t="s">
        <v>154</v>
      </c>
      <c r="C31" s="13" t="s">
        <v>155</v>
      </c>
      <c r="D31" s="14" t="s">
        <v>121</v>
      </c>
      <c r="E31" s="15"/>
      <c r="F31" s="16" t="str">
        <f aca="false">IF(AND(H31&lt;&gt;"",H31&lt;Overzicht!$D$7),"Referentie",IF(E31="","Geen SW-cijfer",IF(E31&gt;=Overzicht!$D$5,"Prioriteit",IF(E31&gt;=Overzicht!$D$6,"Monitoren","Onder drempel"))))</f>
        <v>Geen SW-cijfer</v>
      </c>
      <c r="G31" s="17"/>
      <c r="H31" s="18"/>
      <c r="I31" s="19"/>
      <c r="J31" s="12"/>
      <c r="K31" s="14" t="s">
        <v>122</v>
      </c>
      <c r="L31" s="12" t="s">
        <v>123</v>
      </c>
      <c r="M31" s="20" t="n">
        <v>46292</v>
      </c>
      <c r="N31" s="20" t="n">
        <v>46292</v>
      </c>
      <c r="O31" s="21" t="s">
        <v>46</v>
      </c>
      <c r="P31" s="14" t="s">
        <v>137</v>
      </c>
    </row>
    <row r="32" customFormat="false" ht="15" hidden="false" customHeight="false" outlineLevel="0" collapsed="false">
      <c r="A32" s="12" t="s">
        <v>16</v>
      </c>
      <c r="B32" s="12" t="s">
        <v>156</v>
      </c>
      <c r="C32" s="13" t="s">
        <v>157</v>
      </c>
      <c r="D32" s="14" t="s">
        <v>121</v>
      </c>
      <c r="E32" s="15"/>
      <c r="F32" s="16" t="str">
        <f aca="false">IF(AND(H32&lt;&gt;"",H32&lt;Overzicht!$D$7),"Referentie",IF(E32="","Geen SW-cijfer",IF(E32&gt;=Overzicht!$D$5,"Prioriteit",IF(E32&gt;=Overzicht!$D$6,"Monitoren","Onder drempel"))))</f>
        <v>Geen SW-cijfer</v>
      </c>
      <c r="G32" s="17"/>
      <c r="H32" s="18"/>
      <c r="I32" s="19"/>
      <c r="J32" s="12" t="s">
        <v>158</v>
      </c>
      <c r="K32" s="14"/>
      <c r="L32" s="12" t="s">
        <v>123</v>
      </c>
      <c r="M32" s="20" t="n">
        <v>46292</v>
      </c>
      <c r="N32" s="20" t="n">
        <v>46292</v>
      </c>
      <c r="O32" s="21" t="s">
        <v>46</v>
      </c>
      <c r="P32" s="14" t="s">
        <v>127</v>
      </c>
    </row>
    <row r="33" customFormat="false" ht="15" hidden="false" customHeight="false" outlineLevel="0" collapsed="false">
      <c r="A33" s="12" t="s">
        <v>16</v>
      </c>
      <c r="B33" s="12" t="s">
        <v>159</v>
      </c>
      <c r="C33" s="13" t="s">
        <v>160</v>
      </c>
      <c r="D33" s="14" t="s">
        <v>121</v>
      </c>
      <c r="E33" s="15"/>
      <c r="F33" s="16" t="str">
        <f aca="false">IF(AND(H33&lt;&gt;"",H33&lt;Overzicht!$D$7),"Referentie",IF(E33="","Geen SW-cijfer",IF(E33&gt;=Overzicht!$D$5,"Prioriteit",IF(E33&gt;=Overzicht!$D$6,"Monitoren","Onder drempel"))))</f>
        <v>Geen SW-cijfer</v>
      </c>
      <c r="G33" s="17"/>
      <c r="H33" s="18"/>
      <c r="I33" s="19"/>
      <c r="J33" s="12" t="s">
        <v>88</v>
      </c>
      <c r="K33" s="14"/>
      <c r="L33" s="12" t="s">
        <v>123</v>
      </c>
      <c r="M33" s="20" t="n">
        <v>46292</v>
      </c>
      <c r="N33" s="20" t="n">
        <v>46292</v>
      </c>
      <c r="O33" s="21" t="s">
        <v>46</v>
      </c>
      <c r="P33" s="14" t="s">
        <v>161</v>
      </c>
    </row>
    <row r="34" customFormat="false" ht="15" hidden="false" customHeight="false" outlineLevel="0" collapsed="false">
      <c r="A34" s="12" t="s">
        <v>16</v>
      </c>
      <c r="B34" s="12" t="s">
        <v>162</v>
      </c>
      <c r="C34" s="13" t="s">
        <v>163</v>
      </c>
      <c r="D34" s="14" t="s">
        <v>121</v>
      </c>
      <c r="E34" s="15"/>
      <c r="F34" s="16" t="str">
        <f aca="false">IF(AND(H34&lt;&gt;"",H34&lt;Overzicht!$D$7),"Referentie",IF(E34="","Geen SW-cijfer",IF(E34&gt;=Overzicht!$D$5,"Prioriteit",IF(E34&gt;=Overzicht!$D$6,"Monitoren","Onder drempel"))))</f>
        <v>Geen SW-cijfer</v>
      </c>
      <c r="G34" s="17"/>
      <c r="H34" s="18"/>
      <c r="I34" s="19"/>
      <c r="J34" s="12"/>
      <c r="K34" s="14"/>
      <c r="L34" s="12" t="s">
        <v>123</v>
      </c>
      <c r="M34" s="20" t="n">
        <v>46292</v>
      </c>
      <c r="N34" s="20" t="n">
        <v>46292</v>
      </c>
      <c r="O34" s="21" t="s">
        <v>46</v>
      </c>
      <c r="P34" s="14" t="s">
        <v>137</v>
      </c>
    </row>
    <row r="35" customFormat="false" ht="15" hidden="false" customHeight="false" outlineLevel="0" collapsed="false">
      <c r="A35" s="12" t="s">
        <v>16</v>
      </c>
      <c r="B35" s="12" t="s">
        <v>164</v>
      </c>
      <c r="C35" s="13" t="s">
        <v>165</v>
      </c>
      <c r="D35" s="14" t="s">
        <v>121</v>
      </c>
      <c r="E35" s="15"/>
      <c r="F35" s="16" t="str">
        <f aca="false">IF(AND(H35&lt;&gt;"",H35&lt;Overzicht!$D$7),"Referentie",IF(E35="","Geen SW-cijfer",IF(E35&gt;=Overzicht!$D$5,"Prioriteit",IF(E35&gt;=Overzicht!$D$6,"Monitoren","Onder drempel"))))</f>
        <v>Geen SW-cijfer</v>
      </c>
      <c r="G35" s="17"/>
      <c r="H35" s="18"/>
      <c r="I35" s="19"/>
      <c r="J35" s="12"/>
      <c r="K35" s="14" t="s">
        <v>112</v>
      </c>
      <c r="L35" s="12" t="s">
        <v>123</v>
      </c>
      <c r="M35" s="20" t="n">
        <v>46292</v>
      </c>
      <c r="N35" s="20" t="n">
        <v>46292</v>
      </c>
      <c r="O35" s="21" t="s">
        <v>46</v>
      </c>
      <c r="P35" s="14" t="s">
        <v>166</v>
      </c>
    </row>
    <row r="36" customFormat="false" ht="15" hidden="false" customHeight="false" outlineLevel="0" collapsed="false">
      <c r="A36" s="12" t="s">
        <v>16</v>
      </c>
      <c r="B36" s="12" t="s">
        <v>167</v>
      </c>
      <c r="C36" s="13" t="s">
        <v>168</v>
      </c>
      <c r="D36" s="14" t="s">
        <v>121</v>
      </c>
      <c r="E36" s="15"/>
      <c r="F36" s="16" t="str">
        <f aca="false">IF(AND(H36&lt;&gt;"",H36&lt;Overzicht!$D$7),"Referentie",IF(E36="","Geen SW-cijfer",IF(E36&gt;=Overzicht!$D$5,"Prioriteit",IF(E36&gt;=Overzicht!$D$6,"Monitoren","Onder drempel"))))</f>
        <v>Geen SW-cijfer</v>
      </c>
      <c r="G36" s="17"/>
      <c r="H36" s="18"/>
      <c r="I36" s="19"/>
      <c r="J36" s="12" t="s">
        <v>169</v>
      </c>
      <c r="K36" s="14"/>
      <c r="L36" s="12" t="s">
        <v>123</v>
      </c>
      <c r="M36" s="20" t="n">
        <v>46292</v>
      </c>
      <c r="N36" s="20" t="n">
        <v>46292</v>
      </c>
      <c r="O36" s="21" t="s">
        <v>46</v>
      </c>
      <c r="P36" s="14" t="s">
        <v>170</v>
      </c>
    </row>
    <row r="37" customFormat="false" ht="15" hidden="false" customHeight="false" outlineLevel="0" collapsed="false">
      <c r="A37" s="12" t="s">
        <v>16</v>
      </c>
      <c r="B37" s="12" t="s">
        <v>171</v>
      </c>
      <c r="C37" s="13" t="s">
        <v>172</v>
      </c>
      <c r="D37" s="14" t="s">
        <v>121</v>
      </c>
      <c r="E37" s="15"/>
      <c r="F37" s="16" t="str">
        <f aca="false">IF(AND(H37&lt;&gt;"",H37&lt;Overzicht!$D$7),"Referentie",IF(E37="","Geen SW-cijfer",IF(E37&gt;=Overzicht!$D$5,"Prioriteit",IF(E37&gt;=Overzicht!$D$6,"Monitoren","Onder drempel"))))</f>
        <v>Geen SW-cijfer</v>
      </c>
      <c r="G37" s="17"/>
      <c r="H37" s="18"/>
      <c r="I37" s="19"/>
      <c r="J37" s="12"/>
      <c r="K37" s="14"/>
      <c r="L37" s="12" t="s">
        <v>123</v>
      </c>
      <c r="M37" s="20" t="n">
        <v>46292</v>
      </c>
      <c r="N37" s="20" t="n">
        <v>46292</v>
      </c>
      <c r="O37" s="21" t="s">
        <v>46</v>
      </c>
      <c r="P37" s="14" t="s">
        <v>127</v>
      </c>
    </row>
    <row r="38" customFormat="false" ht="15" hidden="false" customHeight="false" outlineLevel="0" collapsed="false">
      <c r="A38" s="12" t="s">
        <v>16</v>
      </c>
      <c r="B38" s="12" t="s">
        <v>173</v>
      </c>
      <c r="C38" s="13" t="s">
        <v>174</v>
      </c>
      <c r="D38" s="14" t="s">
        <v>121</v>
      </c>
      <c r="E38" s="15"/>
      <c r="F38" s="16" t="str">
        <f aca="false">IF(AND(H38&lt;&gt;"",H38&lt;Overzicht!$D$7),"Referentie",IF(E38="","Geen SW-cijfer",IF(E38&gt;=Overzicht!$D$5,"Prioriteit",IF(E38&gt;=Overzicht!$D$6,"Monitoren","Onder drempel"))))</f>
        <v>Geen SW-cijfer</v>
      </c>
      <c r="G38" s="17"/>
      <c r="H38" s="18"/>
      <c r="I38" s="19"/>
      <c r="J38" s="12" t="s">
        <v>175</v>
      </c>
      <c r="K38" s="14"/>
      <c r="L38" s="12" t="s">
        <v>123</v>
      </c>
      <c r="M38" s="20" t="n">
        <v>46292</v>
      </c>
      <c r="N38" s="20" t="n">
        <v>46292</v>
      </c>
      <c r="O38" s="21" t="s">
        <v>46</v>
      </c>
      <c r="P38" s="14" t="s">
        <v>176</v>
      </c>
    </row>
    <row r="39" customFormat="false" ht="15" hidden="false" customHeight="false" outlineLevel="0" collapsed="false">
      <c r="A39" s="12" t="s">
        <v>16</v>
      </c>
      <c r="B39" s="12" t="s">
        <v>177</v>
      </c>
      <c r="C39" s="13" t="s">
        <v>178</v>
      </c>
      <c r="D39" s="14" t="s">
        <v>121</v>
      </c>
      <c r="E39" s="15"/>
      <c r="F39" s="16" t="str">
        <f aca="false">IF(AND(H39&lt;&gt;"",H39&lt;Overzicht!$D$7),"Referentie",IF(E39="","Geen SW-cijfer",IF(E39&gt;=Overzicht!$D$5,"Prioriteit",IF(E39&gt;=Overzicht!$D$6,"Monitoren","Onder drempel"))))</f>
        <v>Geen SW-cijfer</v>
      </c>
      <c r="G39" s="17"/>
      <c r="H39" s="18"/>
      <c r="I39" s="19"/>
      <c r="J39" s="12" t="s">
        <v>51</v>
      </c>
      <c r="K39" s="14"/>
      <c r="L39" s="12" t="s">
        <v>123</v>
      </c>
      <c r="M39" s="20" t="n">
        <v>46292</v>
      </c>
      <c r="N39" s="20" t="n">
        <v>46292</v>
      </c>
      <c r="O39" s="21" t="s">
        <v>46</v>
      </c>
      <c r="P39" s="14" t="s">
        <v>179</v>
      </c>
    </row>
    <row r="40" customFormat="false" ht="15" hidden="false" customHeight="false" outlineLevel="0" collapsed="false">
      <c r="A40" s="12" t="s">
        <v>16</v>
      </c>
      <c r="B40" s="12" t="s">
        <v>180</v>
      </c>
      <c r="C40" s="13" t="s">
        <v>181</v>
      </c>
      <c r="D40" s="14" t="s">
        <v>121</v>
      </c>
      <c r="E40" s="15"/>
      <c r="F40" s="16" t="str">
        <f aca="false">IF(AND(H40&lt;&gt;"",H40&lt;Overzicht!$D$7),"Referentie",IF(E40="","Geen SW-cijfer",IF(E40&gt;=Overzicht!$D$5,"Prioriteit",IF(E40&gt;=Overzicht!$D$6,"Monitoren","Onder drempel"))))</f>
        <v>Geen SW-cijfer</v>
      </c>
      <c r="G40" s="17"/>
      <c r="H40" s="18"/>
      <c r="I40" s="19"/>
      <c r="J40" s="12" t="s">
        <v>182</v>
      </c>
      <c r="K40" s="14"/>
      <c r="L40" s="12" t="s">
        <v>123</v>
      </c>
      <c r="M40" s="20" t="n">
        <v>46292</v>
      </c>
      <c r="N40" s="20" t="n">
        <v>46292</v>
      </c>
      <c r="O40" s="21" t="s">
        <v>46</v>
      </c>
      <c r="P40" s="14" t="s">
        <v>183</v>
      </c>
    </row>
  </sheetData>
  <autoFilter ref="A4:P40"/>
  <conditionalFormatting sqref="F5:F40">
    <cfRule type="expression" priority="2" aboveAverage="0" equalAverage="0" bottom="0" percent="0" rank="0" text="" dxfId="15">
      <formula>$F5="Prioriteit"</formula>
    </cfRule>
    <cfRule type="expression" priority="3" aboveAverage="0" equalAverage="0" bottom="0" percent="0" rank="0" text="" dxfId="16">
      <formula>$F5="Monitoren"</formula>
    </cfRule>
    <cfRule type="expression" priority="4" aboveAverage="0" equalAverage="0" bottom="0" percent="0" rank="0" text="" dxfId="17">
      <formula>$F5="Onder drempel"</formula>
    </cfRule>
    <cfRule type="expression" priority="5" aboveAverage="0" equalAverage="0" bottom="0" percent="0" rank="0" text="" dxfId="17">
      <formula>$F5="Geen SW-cijfer"</formula>
    </cfRule>
    <cfRule type="expression" priority="6" aboveAverage="0" equalAverage="0" bottom="0" percent="0" rank="0" text="" dxfId="18">
      <formula>$F5="Referentie"</formula>
    </cfRule>
  </conditionalFormatting>
  <conditionalFormatting sqref="E5:E40">
    <cfRule type="dataBar" priority="7">
      <dataBar showValue="1" minLength="10" maxLength="90">
        <cfvo type="num" val="0"/>
        <cfvo type="max" val="0"/>
        <color rgb="FF8EA9DB"/>
      </dataBar>
      <extLst>
        <ext xmlns:x14="http://schemas.microsoft.com/office/spreadsheetml/2009/9/main" uri="{B025F937-C7B1-47D3-B67F-A62EFF666E3E}">
          <x14:id>{1E3AF384-54FE-454C-822B-875CC595667C}</x14:id>
        </ext>
      </extLst>
    </cfRule>
  </conditionalFormatting>
  <conditionalFormatting sqref="G5:G40">
    <cfRule type="expression" priority="8" aboveAverage="0" equalAverage="0" bottom="0" percent="0" rank="0" text="" dxfId="19">
      <formula>AND($G5&lt;&gt;"",$G5&gt;=0.25)</formula>
    </cfRule>
    <cfRule type="expression" priority="9" aboveAverage="0" equalAverage="0" bottom="0" percent="0" rank="0" text="" dxfId="20">
      <formula>AND($G5&lt;&gt;"",$G5&lt;=-0.25)</formula>
    </cfRule>
  </conditionalFormatting>
  <dataValidations count="1">
    <dataValidation allowBlank="true" errorStyle="stop" operator="between" showDropDown="false" showErrorMessage="false" showInputMessage="false" sqref="O5:O40" type="list">
      <formula1>"nee,ja,deels"</formula1>
      <formula2>0</formula2>
    </dataValidation>
  </dataValidations>
  <hyperlinks>
    <hyperlink ref="C5" r:id="rId1" display="drune.de"/>
    <hyperlink ref="C6" r:id="rId2" display="karlson-berlin.com"/>
    <hyperlink ref="C7" r:id="rId3" display="nordheim-mode.de"/>
    <hyperlink ref="C8" r:id="rId4" display="leonboutique.co"/>
    <hyperlink ref="C9" r:id="rId5" display="lozendafashion.com"/>
    <hyperlink ref="C10" r:id="rId6" display="sassyclassy.de"/>
    <hyperlink ref="C11" r:id="rId7" display="risora-shop.de"/>
    <hyperlink ref="C12" r:id="rId8" display="velareehhaus.com"/>
    <hyperlink ref="C13" r:id="rId9" display="nordspur.de"/>
    <hyperlink ref="C14" r:id="rId10" display="falkenberg-mode.de"/>
    <hyperlink ref="C15" r:id="rId11" display="alpenkindmode.com"/>
    <hyperlink ref="C16" r:id="rId12" display="ladypolitan.de"/>
    <hyperlink ref="C17" r:id="rId13" display="walther-mode.com"/>
    <hyperlink ref="C18" r:id="rId14" display="nicole-modehaus.de"/>
    <hyperlink ref="C19" r:id="rId15" display="cecilelavelle.com"/>
    <hyperlink ref="C20" r:id="rId16" display="althausmode.com"/>
    <hyperlink ref="C21" r:id="rId17" display="annoboutique.com"/>
    <hyperlink ref="C22" r:id="rId18" display="bellarosamode.com"/>
    <hyperlink ref="C23" r:id="rId19" display="berlinlook.com"/>
    <hyperlink ref="C24" r:id="rId20" display="berlinsprime.de"/>
    <hyperlink ref="C25" r:id="rId21" display="chaps-herrenmode.de"/>
    <hyperlink ref="C26" r:id="rId22" display="fabrikstil.de"/>
    <hyperlink ref="C27" r:id="rId23" display="falkenhof-mode.de"/>
    <hyperlink ref="C28" r:id="rId24" display="herrmann-modehaus.de"/>
    <hyperlink ref="C29" r:id="rId25" display="kaufmannmode.de"/>
    <hyperlink ref="C30" r:id="rId26" display="kiezstudio.com"/>
    <hyperlink ref="C31" r:id="rId27" display="leipzigmodehausshop.de"/>
    <hyperlink ref="C32" r:id="rId28" display="mathilde-munchen.de"/>
    <hyperlink ref="C33" r:id="rId29" display="modehaushartmann.de"/>
    <hyperlink ref="C34" r:id="rId30" display="modemuller.de"/>
    <hyperlink ref="C35" r:id="rId31" display="nina-nicole.de"/>
    <hyperlink ref="C36" r:id="rId32" display="nordmodehaus.com"/>
    <hyperlink ref="C37" r:id="rId33" display="orthoday.de"/>
    <hyperlink ref="C38" r:id="rId34" display="sophia-zurich.com"/>
    <hyperlink ref="C39" r:id="rId35" display="stefanberlin.com"/>
    <hyperlink ref="C40" r:id="rId36" display="wittenwald.d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37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E3AF384-54FE-454C-822B-875CC595667C}">
            <x14:dataBar minLength="10" maxLength="90" axisPosition="none" gradient="true">
              <x14:cfvo type="num">
                <xm:f>0</xm:f>
              </x14:cfvo>
              <x14:cfvo type="max"/>
              <x14:negativeFillColor rgb="FF8EA9DB"/>
              <x14:axisColor rgb="FF000000"/>
            </x14:dataBar>
          </x14:cfRule>
          <xm:sqref>E5:E40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B183"/>
    <pageSetUpPr fitToPage="true"/>
  </sheetPr>
  <dimension ref="A1:P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4"/>
    <col collapsed="false" customWidth="true" hidden="false" outlineLevel="0" max="3" min="3" style="0" width="28"/>
    <col collapsed="false" customWidth="true" hidden="false" outlineLevel="0" max="4" min="4" style="0" width="30"/>
    <col collapsed="false" customWidth="true" hidden="false" outlineLevel="0" max="6" min="5" style="0" width="15"/>
    <col collapsed="false" customWidth="true" hidden="false" outlineLevel="0" max="7" min="7" style="0" width="14"/>
    <col collapsed="false" customWidth="true" hidden="false" outlineLevel="0" max="9" min="8" style="0" width="11"/>
    <col collapsed="false" customWidth="true" hidden="false" outlineLevel="0" max="10" min="10" style="0" width="26"/>
    <col collapsed="false" customWidth="true" hidden="false" outlineLevel="0" max="11" min="11" style="0" width="30"/>
    <col collapsed="false" customWidth="true" hidden="false" outlineLevel="0" max="12" min="12" style="0" width="20"/>
    <col collapsed="false" customWidth="true" hidden="false" outlineLevel="0" max="15" min="13" style="0" width="13"/>
    <col collapsed="false" customWidth="true" hidden="false" outlineLevel="0" max="16" min="16" style="0" width="60"/>
  </cols>
  <sheetData>
    <row r="1" customFormat="false" ht="19.7" hidden="false" customHeight="false" outlineLevel="0" collapsed="false">
      <c r="A1" s="1" t="s">
        <v>18</v>
      </c>
    </row>
    <row r="2" customFormat="false" ht="15" hidden="false" customHeight="false" outlineLevel="0" collapsed="false">
      <c r="A2" s="2" t="s">
        <v>261</v>
      </c>
    </row>
    <row r="4" customFormat="false" ht="30" hidden="false" customHeight="true" outlineLevel="0" collapsed="false">
      <c r="A4" s="7" t="s">
        <v>6</v>
      </c>
      <c r="B4" s="7" t="s">
        <v>26</v>
      </c>
      <c r="C4" s="7" t="s">
        <v>27</v>
      </c>
      <c r="D4" s="7" t="s">
        <v>28</v>
      </c>
      <c r="E4" s="7" t="s">
        <v>29</v>
      </c>
      <c r="F4" s="7" t="s">
        <v>30</v>
      </c>
      <c r="G4" s="7" t="s">
        <v>31</v>
      </c>
      <c r="H4" s="7" t="s">
        <v>32</v>
      </c>
      <c r="I4" s="7" t="s">
        <v>33</v>
      </c>
      <c r="J4" s="7" t="s">
        <v>34</v>
      </c>
      <c r="K4" s="7" t="s">
        <v>35</v>
      </c>
      <c r="L4" s="7" t="s">
        <v>36</v>
      </c>
      <c r="M4" s="7" t="s">
        <v>37</v>
      </c>
      <c r="N4" s="7" t="s">
        <v>38</v>
      </c>
      <c r="O4" s="7" t="s">
        <v>39</v>
      </c>
      <c r="P4" s="7" t="s">
        <v>40</v>
      </c>
    </row>
    <row r="5" customFormat="false" ht="15" hidden="false" customHeight="false" outlineLevel="0" collapsed="false">
      <c r="A5" s="12" t="s">
        <v>18</v>
      </c>
      <c r="B5" s="12" t="s">
        <v>184</v>
      </c>
      <c r="C5" s="13" t="s">
        <v>185</v>
      </c>
      <c r="D5" s="14" t="s">
        <v>106</v>
      </c>
      <c r="E5" s="15" t="n">
        <v>426400</v>
      </c>
      <c r="F5" s="16" t="str">
        <f aca="false">IF(AND(H5&lt;&gt;"",H5&lt;Overzicht!$D$7),"Referentie",IF(E5="","Geen SW-cijfer",IF(E5&gt;=Overzicht!$D$5,"Prioriteit",IF(E5&gt;=Overzicht!$D$6,"Monitoren","Onder drempel"))))</f>
        <v>Prioriteit</v>
      </c>
      <c r="G5" s="17" t="n">
        <v>0.3</v>
      </c>
      <c r="H5" s="18" t="n">
        <v>5</v>
      </c>
      <c r="I5" s="19" t="n">
        <v>0.69</v>
      </c>
      <c r="J5" s="12" t="s">
        <v>186</v>
      </c>
      <c r="K5" s="14"/>
      <c r="L5" s="12" t="s">
        <v>45</v>
      </c>
      <c r="M5" s="20" t="n">
        <v>46292</v>
      </c>
      <c r="N5" s="20" t="n">
        <v>46292</v>
      </c>
      <c r="O5" s="21" t="s">
        <v>46</v>
      </c>
      <c r="P5" s="14" t="s">
        <v>187</v>
      </c>
    </row>
    <row r="6" customFormat="false" ht="15" hidden="false" customHeight="false" outlineLevel="0" collapsed="false">
      <c r="A6" s="12" t="s">
        <v>18</v>
      </c>
      <c r="B6" s="12" t="s">
        <v>188</v>
      </c>
      <c r="C6" s="13" t="s">
        <v>189</v>
      </c>
      <c r="D6" s="14" t="s">
        <v>101</v>
      </c>
      <c r="E6" s="15" t="n">
        <v>275400</v>
      </c>
      <c r="F6" s="16" t="str">
        <f aca="false">IF(AND(H6&lt;&gt;"",H6&lt;Overzicht!$D$7),"Referentie",IF(E6="","Geen SW-cijfer",IF(E6&gt;=Overzicht!$D$5,"Prioriteit",IF(E6&gt;=Overzicht!$D$6,"Monitoren","Onder drempel"))))</f>
        <v>Prioriteit</v>
      </c>
      <c r="G6" s="17" t="n">
        <v>0.77</v>
      </c>
      <c r="H6" s="18" t="n">
        <v>5</v>
      </c>
      <c r="I6" s="19" t="n">
        <v>0.79</v>
      </c>
      <c r="J6" s="12" t="s">
        <v>190</v>
      </c>
      <c r="K6" s="14"/>
      <c r="L6" s="12" t="s">
        <v>45</v>
      </c>
      <c r="M6" s="20" t="n">
        <v>46292</v>
      </c>
      <c r="N6" s="20" t="n">
        <v>46292</v>
      </c>
      <c r="O6" s="21" t="s">
        <v>46</v>
      </c>
      <c r="P6" s="14" t="s">
        <v>191</v>
      </c>
    </row>
    <row r="7" customFormat="false" ht="23.85" hidden="false" customHeight="false" outlineLevel="0" collapsed="false">
      <c r="A7" s="12" t="s">
        <v>18</v>
      </c>
      <c r="B7" s="12" t="s">
        <v>192</v>
      </c>
      <c r="C7" s="13" t="s">
        <v>193</v>
      </c>
      <c r="D7" s="14" t="s">
        <v>194</v>
      </c>
      <c r="E7" s="15" t="n">
        <v>268600</v>
      </c>
      <c r="F7" s="16" t="str">
        <f aca="false">IF(AND(H7&lt;&gt;"",H7&lt;Overzicht!$D$7),"Referentie",IF(E7="","Geen SW-cijfer",IF(E7&gt;=Overzicht!$D$5,"Prioriteit",IF(E7&gt;=Overzicht!$D$6,"Monitoren","Onder drempel"))))</f>
        <v>Prioriteit</v>
      </c>
      <c r="G7" s="17" t="n">
        <v>-0.04</v>
      </c>
      <c r="H7" s="18" t="n">
        <v>5</v>
      </c>
      <c r="I7" s="19" t="n">
        <v>0.79</v>
      </c>
      <c r="J7" s="12" t="s">
        <v>190</v>
      </c>
      <c r="K7" s="14" t="s">
        <v>195</v>
      </c>
      <c r="L7" s="12" t="s">
        <v>45</v>
      </c>
      <c r="M7" s="20" t="n">
        <v>46292</v>
      </c>
      <c r="N7" s="20" t="n">
        <v>46292</v>
      </c>
      <c r="O7" s="21" t="s">
        <v>46</v>
      </c>
      <c r="P7" s="14" t="s">
        <v>196</v>
      </c>
    </row>
    <row r="8" customFormat="false" ht="15" hidden="false" customHeight="false" outlineLevel="0" collapsed="false">
      <c r="A8" s="12" t="s">
        <v>18</v>
      </c>
      <c r="B8" s="12" t="s">
        <v>197</v>
      </c>
      <c r="C8" s="13" t="s">
        <v>198</v>
      </c>
      <c r="D8" s="14" t="s">
        <v>101</v>
      </c>
      <c r="E8" s="15" t="n">
        <v>235800</v>
      </c>
      <c r="F8" s="16" t="str">
        <f aca="false">IF(AND(H8&lt;&gt;"",H8&lt;Overzicht!$D$7),"Referentie",IF(E8="","Geen SW-cijfer",IF(E8&gt;=Overzicht!$D$5,"Prioriteit",IF(E8&gt;=Overzicht!$D$6,"Monitoren","Onder drempel"))))</f>
        <v>Prioriteit</v>
      </c>
      <c r="G8" s="17" t="n">
        <v>0.49</v>
      </c>
      <c r="H8" s="18" t="n">
        <v>4</v>
      </c>
      <c r="I8" s="19" t="n">
        <v>0.93</v>
      </c>
      <c r="J8" s="12" t="s">
        <v>190</v>
      </c>
      <c r="K8" s="14" t="s">
        <v>199</v>
      </c>
      <c r="L8" s="12" t="s">
        <v>45</v>
      </c>
      <c r="M8" s="20" t="n">
        <v>46292</v>
      </c>
      <c r="N8" s="20" t="n">
        <v>46292</v>
      </c>
      <c r="O8" s="21" t="s">
        <v>46</v>
      </c>
      <c r="P8" s="14" t="s">
        <v>200</v>
      </c>
    </row>
    <row r="9" customFormat="false" ht="15" hidden="false" customHeight="false" outlineLevel="0" collapsed="false">
      <c r="A9" s="12" t="s">
        <v>18</v>
      </c>
      <c r="B9" s="12" t="s">
        <v>201</v>
      </c>
      <c r="C9" s="13" t="s">
        <v>202</v>
      </c>
      <c r="D9" s="14" t="s">
        <v>194</v>
      </c>
      <c r="E9" s="15" t="n">
        <v>195100</v>
      </c>
      <c r="F9" s="16" t="str">
        <f aca="false">IF(AND(H9&lt;&gt;"",H9&lt;Overzicht!$D$7),"Referentie",IF(E9="","Geen SW-cijfer",IF(E9&gt;=Overzicht!$D$5,"Prioriteit",IF(E9&gt;=Overzicht!$D$6,"Monitoren","Onder drempel"))))</f>
        <v>Prioriteit</v>
      </c>
      <c r="G9" s="17" t="n">
        <v>1.42</v>
      </c>
      <c r="H9" s="18" t="n">
        <v>5</v>
      </c>
      <c r="I9" s="19" t="n">
        <v>0.84</v>
      </c>
      <c r="J9" s="12" t="s">
        <v>203</v>
      </c>
      <c r="K9" s="14"/>
      <c r="L9" s="12" t="s">
        <v>45</v>
      </c>
      <c r="M9" s="20" t="n">
        <v>46292</v>
      </c>
      <c r="N9" s="20" t="n">
        <v>46292</v>
      </c>
      <c r="O9" s="21" t="s">
        <v>46</v>
      </c>
      <c r="P9" s="14" t="s">
        <v>204</v>
      </c>
    </row>
    <row r="10" customFormat="false" ht="15" hidden="false" customHeight="false" outlineLevel="0" collapsed="false">
      <c r="A10" s="12" t="s">
        <v>18</v>
      </c>
      <c r="B10" s="12" t="s">
        <v>205</v>
      </c>
      <c r="C10" s="13" t="s">
        <v>206</v>
      </c>
      <c r="D10" s="14" t="s">
        <v>101</v>
      </c>
      <c r="E10" s="15" t="n">
        <v>165600</v>
      </c>
      <c r="F10" s="16" t="str">
        <f aca="false">IF(AND(H10&lt;&gt;"",H10&lt;Overzicht!$D$7),"Referentie",IF(E10="","Geen SW-cijfer",IF(E10&gt;=Overzicht!$D$5,"Prioriteit",IF(E10&gt;=Overzicht!$D$6,"Monitoren","Onder drempel"))))</f>
        <v>Prioriteit</v>
      </c>
      <c r="G10" s="17" t="n">
        <v>0.7</v>
      </c>
      <c r="H10" s="18" t="n">
        <v>4</v>
      </c>
      <c r="I10" s="19" t="n">
        <v>0.38</v>
      </c>
      <c r="J10" s="12" t="s">
        <v>190</v>
      </c>
      <c r="K10" s="14" t="s">
        <v>199</v>
      </c>
      <c r="L10" s="12" t="s">
        <v>52</v>
      </c>
      <c r="M10" s="20" t="n">
        <v>46292</v>
      </c>
      <c r="N10" s="20" t="n">
        <v>46292</v>
      </c>
      <c r="O10" s="21" t="s">
        <v>46</v>
      </c>
      <c r="P10" s="14" t="s">
        <v>207</v>
      </c>
    </row>
    <row r="11" customFormat="false" ht="15" hidden="false" customHeight="false" outlineLevel="0" collapsed="false">
      <c r="A11" s="12" t="s">
        <v>18</v>
      </c>
      <c r="B11" s="12" t="s">
        <v>208</v>
      </c>
      <c r="C11" s="13" t="s">
        <v>209</v>
      </c>
      <c r="D11" s="14" t="s">
        <v>101</v>
      </c>
      <c r="E11" s="15" t="n">
        <v>151900</v>
      </c>
      <c r="F11" s="16" t="str">
        <f aca="false">IF(AND(H11&lt;&gt;"",H11&lt;Overzicht!$D$7),"Referentie",IF(E11="","Geen SW-cijfer",IF(E11&gt;=Overzicht!$D$5,"Prioriteit",IF(E11&gt;=Overzicht!$D$6,"Monitoren","Onder drempel"))))</f>
        <v>Referentie</v>
      </c>
      <c r="G11" s="17" t="n">
        <v>0.61</v>
      </c>
      <c r="H11" s="18" t="n">
        <v>2</v>
      </c>
      <c r="I11" s="19" t="n">
        <v>0.21</v>
      </c>
      <c r="J11" s="12" t="s">
        <v>210</v>
      </c>
      <c r="K11" s="14"/>
      <c r="L11" s="12" t="s">
        <v>45</v>
      </c>
      <c r="M11" s="20" t="n">
        <v>46292</v>
      </c>
      <c r="N11" s="20" t="n">
        <v>46292</v>
      </c>
      <c r="O11" s="21" t="s">
        <v>46</v>
      </c>
      <c r="P11" s="14" t="s">
        <v>211</v>
      </c>
    </row>
    <row r="12" customFormat="false" ht="15" hidden="false" customHeight="false" outlineLevel="0" collapsed="false">
      <c r="A12" s="12" t="s">
        <v>18</v>
      </c>
      <c r="B12" s="12" t="s">
        <v>212</v>
      </c>
      <c r="C12" s="13" t="s">
        <v>213</v>
      </c>
      <c r="D12" s="14" t="s">
        <v>101</v>
      </c>
      <c r="E12" s="15" t="n">
        <v>95600</v>
      </c>
      <c r="F12" s="16" t="str">
        <f aca="false">IF(AND(H12&lt;&gt;"",H12&lt;Overzicht!$D$7),"Referentie",IF(E12="","Geen SW-cijfer",IF(E12&gt;=Overzicht!$D$5,"Prioriteit",IF(E12&gt;=Overzicht!$D$6,"Monitoren","Onder drempel"))))</f>
        <v>Prioriteit</v>
      </c>
      <c r="G12" s="17" t="n">
        <v>-0.55</v>
      </c>
      <c r="H12" s="18" t="n">
        <v>5</v>
      </c>
      <c r="I12" s="19" t="n">
        <v>0.45</v>
      </c>
      <c r="J12" s="12" t="s">
        <v>214</v>
      </c>
      <c r="K12" s="14"/>
      <c r="L12" s="12" t="s">
        <v>45</v>
      </c>
      <c r="M12" s="20" t="n">
        <v>46292</v>
      </c>
      <c r="N12" s="20" t="n">
        <v>46292</v>
      </c>
      <c r="O12" s="21" t="s">
        <v>46</v>
      </c>
      <c r="P12" s="14"/>
    </row>
    <row r="13" customFormat="false" ht="15" hidden="false" customHeight="false" outlineLevel="0" collapsed="false">
      <c r="A13" s="12" t="s">
        <v>18</v>
      </c>
      <c r="B13" s="12" t="s">
        <v>215</v>
      </c>
      <c r="C13" s="13" t="s">
        <v>216</v>
      </c>
      <c r="D13" s="14" t="s">
        <v>194</v>
      </c>
      <c r="E13" s="15" t="n">
        <v>77300</v>
      </c>
      <c r="F13" s="16" t="str">
        <f aca="false">IF(AND(H13&lt;&gt;"",H13&lt;Overzicht!$D$7),"Referentie",IF(E13="","Geen SW-cijfer",IF(E13&gt;=Overzicht!$D$5,"Prioriteit",IF(E13&gt;=Overzicht!$D$6,"Monitoren","Onder drempel"))))</f>
        <v>Prioriteit</v>
      </c>
      <c r="G13" s="17" t="n">
        <v>0.84</v>
      </c>
      <c r="H13" s="18" t="n">
        <v>5</v>
      </c>
      <c r="I13" s="19" t="n">
        <v>0.69</v>
      </c>
      <c r="J13" s="12" t="s">
        <v>190</v>
      </c>
      <c r="K13" s="14"/>
      <c r="L13" s="12" t="s">
        <v>45</v>
      </c>
      <c r="M13" s="20" t="n">
        <v>46292</v>
      </c>
      <c r="N13" s="20" t="n">
        <v>46292</v>
      </c>
      <c r="O13" s="21" t="s">
        <v>46</v>
      </c>
      <c r="P13" s="14"/>
    </row>
    <row r="14" customFormat="false" ht="15" hidden="false" customHeight="false" outlineLevel="0" collapsed="false">
      <c r="A14" s="12" t="s">
        <v>18</v>
      </c>
      <c r="B14" s="12" t="s">
        <v>217</v>
      </c>
      <c r="C14" s="13" t="s">
        <v>218</v>
      </c>
      <c r="D14" s="14" t="s">
        <v>106</v>
      </c>
      <c r="E14" s="15" t="n">
        <v>64600</v>
      </c>
      <c r="F14" s="16" t="str">
        <f aca="false">IF(AND(H14&lt;&gt;"",H14&lt;Overzicht!$D$7),"Referentie",IF(E14="","Geen SW-cijfer",IF(E14&gt;=Overzicht!$D$5,"Prioriteit",IF(E14&gt;=Overzicht!$D$6,"Monitoren","Onder drempel"))))</f>
        <v>Monitoren</v>
      </c>
      <c r="G14" s="17" t="n">
        <v>-0.08</v>
      </c>
      <c r="H14" s="18" t="n">
        <v>5</v>
      </c>
      <c r="I14" s="19" t="n">
        <v>0.92</v>
      </c>
      <c r="J14" s="12" t="s">
        <v>219</v>
      </c>
      <c r="K14" s="14"/>
      <c r="L14" s="12" t="s">
        <v>45</v>
      </c>
      <c r="M14" s="20" t="n">
        <v>46292</v>
      </c>
      <c r="N14" s="20" t="n">
        <v>46292</v>
      </c>
      <c r="O14" s="21" t="s">
        <v>46</v>
      </c>
      <c r="P14" s="14"/>
    </row>
    <row r="15" customFormat="false" ht="15" hidden="false" customHeight="false" outlineLevel="0" collapsed="false">
      <c r="A15" s="12" t="s">
        <v>18</v>
      </c>
      <c r="B15" s="12" t="s">
        <v>220</v>
      </c>
      <c r="C15" s="13" t="s">
        <v>221</v>
      </c>
      <c r="D15" s="14" t="s">
        <v>101</v>
      </c>
      <c r="E15" s="15" t="n">
        <v>63300</v>
      </c>
      <c r="F15" s="16" t="str">
        <f aca="false">IF(AND(H15&lt;&gt;"",H15&lt;Overzicht!$D$7),"Referentie",IF(E15="","Geen SW-cijfer",IF(E15&gt;=Overzicht!$D$5,"Prioriteit",IF(E15&gt;=Overzicht!$D$6,"Monitoren","Onder drempel"))))</f>
        <v>Monitoren</v>
      </c>
      <c r="G15" s="17" t="n">
        <v>-0.5</v>
      </c>
      <c r="H15" s="18" t="n">
        <v>5</v>
      </c>
      <c r="I15" s="19" t="n">
        <v>0.84</v>
      </c>
      <c r="J15" s="12" t="s">
        <v>190</v>
      </c>
      <c r="K15" s="14"/>
      <c r="L15" s="12" t="s">
        <v>45</v>
      </c>
      <c r="M15" s="20" t="n">
        <v>46292</v>
      </c>
      <c r="N15" s="20" t="n">
        <v>46292</v>
      </c>
      <c r="O15" s="21" t="s">
        <v>46</v>
      </c>
      <c r="P15" s="14"/>
    </row>
    <row r="16" customFormat="false" ht="15" hidden="false" customHeight="false" outlineLevel="0" collapsed="false">
      <c r="A16" s="12" t="s">
        <v>18</v>
      </c>
      <c r="B16" s="12" t="s">
        <v>222</v>
      </c>
      <c r="C16" s="13" t="s">
        <v>223</v>
      </c>
      <c r="D16" s="14" t="s">
        <v>224</v>
      </c>
      <c r="E16" s="15" t="n">
        <v>50900</v>
      </c>
      <c r="F16" s="16" t="str">
        <f aca="false">IF(AND(H16&lt;&gt;"",H16&lt;Overzicht!$D$7),"Referentie",IF(E16="","Geen SW-cijfer",IF(E16&gt;=Overzicht!$D$5,"Prioriteit",IF(E16&gt;=Overzicht!$D$6,"Monitoren","Onder drempel"))))</f>
        <v>Monitoren</v>
      </c>
      <c r="G16" s="17" t="n">
        <v>0.03</v>
      </c>
      <c r="H16" s="18" t="n">
        <v>3</v>
      </c>
      <c r="I16" s="19" t="n">
        <v>0.05</v>
      </c>
      <c r="J16" s="12" t="s">
        <v>190</v>
      </c>
      <c r="K16" s="14"/>
      <c r="L16" s="12" t="s">
        <v>45</v>
      </c>
      <c r="M16" s="20" t="n">
        <v>46292</v>
      </c>
      <c r="N16" s="20" t="n">
        <v>46292</v>
      </c>
      <c r="O16" s="21" t="s">
        <v>46</v>
      </c>
      <c r="P16" s="14"/>
    </row>
    <row r="17" customFormat="false" ht="15" hidden="false" customHeight="false" outlineLevel="0" collapsed="false">
      <c r="A17" s="12" t="s">
        <v>18</v>
      </c>
      <c r="B17" s="12" t="s">
        <v>225</v>
      </c>
      <c r="C17" s="13" t="s">
        <v>226</v>
      </c>
      <c r="D17" s="14" t="s">
        <v>106</v>
      </c>
      <c r="E17" s="15" t="n">
        <v>34300</v>
      </c>
      <c r="F17" s="16" t="str">
        <f aca="false">IF(AND(H17&lt;&gt;"",H17&lt;Overzicht!$D$7),"Referentie",IF(E17="","Geen SW-cijfer",IF(E17&gt;=Overzicht!$D$5,"Prioriteit",IF(E17&gt;=Overzicht!$D$6,"Monitoren","Onder drempel"))))</f>
        <v>Monitoren</v>
      </c>
      <c r="G17" s="17" t="n">
        <v>-0.52</v>
      </c>
      <c r="H17" s="18" t="n">
        <v>5</v>
      </c>
      <c r="I17" s="19" t="n">
        <v>0</v>
      </c>
      <c r="J17" s="12" t="s">
        <v>190</v>
      </c>
      <c r="K17" s="14"/>
      <c r="L17" s="12" t="s">
        <v>45</v>
      </c>
      <c r="M17" s="20" t="n">
        <v>46292</v>
      </c>
      <c r="N17" s="20" t="n">
        <v>46292</v>
      </c>
      <c r="O17" s="21" t="s">
        <v>46</v>
      </c>
      <c r="P17" s="14"/>
    </row>
    <row r="18" customFormat="false" ht="15" hidden="false" customHeight="false" outlineLevel="0" collapsed="false">
      <c r="A18" s="12" t="s">
        <v>18</v>
      </c>
      <c r="B18" s="12" t="s">
        <v>227</v>
      </c>
      <c r="C18" s="13" t="s">
        <v>228</v>
      </c>
      <c r="D18" s="14" t="s">
        <v>194</v>
      </c>
      <c r="E18" s="15" t="n">
        <v>19800</v>
      </c>
      <c r="F18" s="16" t="str">
        <f aca="false">IF(AND(H18&lt;&gt;"",H18&lt;Overzicht!$D$7),"Referentie",IF(E18="","Geen SW-cijfer",IF(E18&gt;=Overzicht!$D$5,"Prioriteit",IF(E18&gt;=Overzicht!$D$6,"Monitoren","Onder drempel"))))</f>
        <v>Onder drempel</v>
      </c>
      <c r="G18" s="17" t="n">
        <v>-0.2</v>
      </c>
      <c r="H18" s="18" t="n">
        <v>4</v>
      </c>
      <c r="I18" s="19" t="n">
        <v>0.29</v>
      </c>
      <c r="J18" s="12" t="s">
        <v>229</v>
      </c>
      <c r="K18" s="14"/>
      <c r="L18" s="12" t="s">
        <v>52</v>
      </c>
      <c r="M18" s="20" t="n">
        <v>46292</v>
      </c>
      <c r="N18" s="20" t="n">
        <v>46292</v>
      </c>
      <c r="O18" s="21" t="s">
        <v>46</v>
      </c>
      <c r="P18" s="14"/>
    </row>
    <row r="19" customFormat="false" ht="15" hidden="false" customHeight="false" outlineLevel="0" collapsed="false">
      <c r="A19" s="12" t="s">
        <v>18</v>
      </c>
      <c r="B19" s="12" t="s">
        <v>230</v>
      </c>
      <c r="C19" s="13" t="s">
        <v>231</v>
      </c>
      <c r="D19" s="14" t="s">
        <v>101</v>
      </c>
      <c r="E19" s="15" t="n">
        <v>9100</v>
      </c>
      <c r="F19" s="16" t="str">
        <f aca="false">IF(AND(H19&lt;&gt;"",H19&lt;Overzicht!$D$7),"Referentie",IF(E19="","Geen SW-cijfer",IF(E19&gt;=Overzicht!$D$5,"Prioriteit",IF(E19&gt;=Overzicht!$D$6,"Monitoren","Onder drempel"))))</f>
        <v>Onder drempel</v>
      </c>
      <c r="G19" s="17" t="n">
        <v>-0.62</v>
      </c>
      <c r="H19" s="18" t="n">
        <v>5</v>
      </c>
      <c r="I19" s="19" t="n">
        <v>0.92</v>
      </c>
      <c r="J19" s="12" t="s">
        <v>190</v>
      </c>
      <c r="K19" s="14"/>
      <c r="L19" s="12" t="s">
        <v>108</v>
      </c>
      <c r="M19" s="20" t="n">
        <v>46292</v>
      </c>
      <c r="N19" s="20" t="n">
        <v>46292</v>
      </c>
      <c r="O19" s="21" t="s">
        <v>46</v>
      </c>
      <c r="P19" s="14"/>
    </row>
  </sheetData>
  <autoFilter ref="A4:P19"/>
  <conditionalFormatting sqref="F5:F19">
    <cfRule type="expression" priority="2" aboveAverage="0" equalAverage="0" bottom="0" percent="0" rank="0" text="" dxfId="15">
      <formula>$F5="Prioriteit"</formula>
    </cfRule>
    <cfRule type="expression" priority="3" aboveAverage="0" equalAverage="0" bottom="0" percent="0" rank="0" text="" dxfId="16">
      <formula>$F5="Monitoren"</formula>
    </cfRule>
    <cfRule type="expression" priority="4" aboveAverage="0" equalAverage="0" bottom="0" percent="0" rank="0" text="" dxfId="17">
      <formula>$F5="Onder drempel"</formula>
    </cfRule>
    <cfRule type="expression" priority="5" aboveAverage="0" equalAverage="0" bottom="0" percent="0" rank="0" text="" dxfId="17">
      <formula>$F5="Geen SW-cijfer"</formula>
    </cfRule>
    <cfRule type="expression" priority="6" aboveAverage="0" equalAverage="0" bottom="0" percent="0" rank="0" text="" dxfId="18">
      <formula>$F5="Referentie"</formula>
    </cfRule>
  </conditionalFormatting>
  <conditionalFormatting sqref="E5:E19">
    <cfRule type="dataBar" priority="7">
      <dataBar showValue="1" minLength="10" maxLength="90">
        <cfvo type="num" val="0"/>
        <cfvo type="max" val="0"/>
        <color rgb="FF8EA9DB"/>
      </dataBar>
      <extLst>
        <ext xmlns:x14="http://schemas.microsoft.com/office/spreadsheetml/2009/9/main" uri="{B025F937-C7B1-47D3-B67F-A62EFF666E3E}">
          <x14:id>{A82EF9B0-2DE0-4597-88B0-6D12121FB2F0}</x14:id>
        </ext>
      </extLst>
    </cfRule>
  </conditionalFormatting>
  <conditionalFormatting sqref="G5:G19">
    <cfRule type="expression" priority="8" aboveAverage="0" equalAverage="0" bottom="0" percent="0" rank="0" text="" dxfId="19">
      <formula>AND($G5&lt;&gt;"",$G5&gt;=0.25)</formula>
    </cfRule>
    <cfRule type="expression" priority="9" aboveAverage="0" equalAverage="0" bottom="0" percent="0" rank="0" text="" dxfId="20">
      <formula>AND($G5&lt;&gt;"",$G5&lt;=-0.25)</formula>
    </cfRule>
  </conditionalFormatting>
  <dataValidations count="1">
    <dataValidation allowBlank="true" errorStyle="stop" operator="between" showDropDown="false" showErrorMessage="false" showInputMessage="false" sqref="O5:O19" type="list">
      <formula1>"nee,ja,deels"</formula1>
      <formula2>0</formula2>
    </dataValidation>
  </dataValidations>
  <hyperlinks>
    <hyperlink ref="C5" r:id="rId1" display="moreau-lyon.fr"/>
    <hyperlink ref="C6" r:id="rId2" display="lumiereboutique.fr"/>
    <hyperlink ref="C7" r:id="rId3" display="laurentmonaco.fr"/>
    <hyperlink ref="C8" r:id="rId4" display="lookdeparis.com"/>
    <hyperlink ref="C9" r:id="rId5" display="armandetfils.fr"/>
    <hyperlink ref="C10" r:id="rId6" display="boutique-paris.fr"/>
    <hyperlink ref="C11" r:id="rId7" display="cettesaison.fr"/>
    <hyperlink ref="C12" r:id="rId8" display="maisonvillard.fr"/>
    <hyperlink ref="C13" r:id="rId9" display="parisane.fr"/>
    <hyperlink ref="C14" r:id="rId10" display="dolce-paris.com"/>
    <hyperlink ref="C15" r:id="rId11" display="laurence-boutique.fr"/>
    <hyperlink ref="C16" r:id="rId12" display="jetta.fr"/>
    <hyperlink ref="C17" r:id="rId13" display="boutique-elegance-bordeaux.fr"/>
    <hyperlink ref="C18" r:id="rId14" display="frilivin.fr"/>
    <hyperlink ref="C19" r:id="rId15" display="evienne.f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6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82EF9B0-2DE0-4597-88B0-6D12121FB2F0}">
            <x14:dataBar minLength="10" maxLength="90" axisPosition="none" gradient="true">
              <x14:cfvo type="num">
                <xm:f>0</xm:f>
              </x14:cfvo>
              <x14:cfvo type="max"/>
              <x14:negativeFillColor rgb="FF8EA9DB"/>
              <x14:axisColor rgb="FF000000"/>
            </x14:dataBar>
          </x14:cfRule>
          <xm:sqref>E5:E19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B183"/>
    <pageSetUpPr fitToPage="true"/>
  </sheetPr>
  <dimension ref="A1:P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4"/>
    <col collapsed="false" customWidth="true" hidden="false" outlineLevel="0" max="3" min="3" style="0" width="28"/>
    <col collapsed="false" customWidth="true" hidden="false" outlineLevel="0" max="4" min="4" style="0" width="30"/>
    <col collapsed="false" customWidth="true" hidden="false" outlineLevel="0" max="6" min="5" style="0" width="15"/>
    <col collapsed="false" customWidth="true" hidden="false" outlineLevel="0" max="7" min="7" style="0" width="14"/>
    <col collapsed="false" customWidth="true" hidden="false" outlineLevel="0" max="9" min="8" style="0" width="11"/>
    <col collapsed="false" customWidth="true" hidden="false" outlineLevel="0" max="10" min="10" style="0" width="26"/>
    <col collapsed="false" customWidth="true" hidden="false" outlineLevel="0" max="11" min="11" style="0" width="30"/>
    <col collapsed="false" customWidth="true" hidden="false" outlineLevel="0" max="12" min="12" style="0" width="20"/>
    <col collapsed="false" customWidth="true" hidden="false" outlineLevel="0" max="15" min="13" style="0" width="13"/>
    <col collapsed="false" customWidth="true" hidden="false" outlineLevel="0" max="16" min="16" style="0" width="60"/>
  </cols>
  <sheetData>
    <row r="1" customFormat="false" ht="19.7" hidden="false" customHeight="false" outlineLevel="0" collapsed="false">
      <c r="A1" s="1" t="s">
        <v>20</v>
      </c>
    </row>
    <row r="2" customFormat="false" ht="15" hidden="false" customHeight="false" outlineLevel="0" collapsed="false">
      <c r="A2" s="2" t="s">
        <v>262</v>
      </c>
    </row>
    <row r="4" customFormat="false" ht="30" hidden="false" customHeight="true" outlineLevel="0" collapsed="false">
      <c r="A4" s="7" t="s">
        <v>6</v>
      </c>
      <c r="B4" s="7" t="s">
        <v>26</v>
      </c>
      <c r="C4" s="7" t="s">
        <v>27</v>
      </c>
      <c r="D4" s="7" t="s">
        <v>28</v>
      </c>
      <c r="E4" s="7" t="s">
        <v>29</v>
      </c>
      <c r="F4" s="7" t="s">
        <v>30</v>
      </c>
      <c r="G4" s="7" t="s">
        <v>31</v>
      </c>
      <c r="H4" s="7" t="s">
        <v>32</v>
      </c>
      <c r="I4" s="7" t="s">
        <v>33</v>
      </c>
      <c r="J4" s="7" t="s">
        <v>34</v>
      </c>
      <c r="K4" s="7" t="s">
        <v>35</v>
      </c>
      <c r="L4" s="7" t="s">
        <v>36</v>
      </c>
      <c r="M4" s="7" t="s">
        <v>37</v>
      </c>
      <c r="N4" s="7" t="s">
        <v>38</v>
      </c>
      <c r="O4" s="7" t="s">
        <v>39</v>
      </c>
      <c r="P4" s="7" t="s">
        <v>40</v>
      </c>
    </row>
    <row r="5" customFormat="false" ht="23.85" hidden="false" customHeight="false" outlineLevel="0" collapsed="false">
      <c r="A5" s="12" t="s">
        <v>20</v>
      </c>
      <c r="B5" s="12" t="s">
        <v>232</v>
      </c>
      <c r="C5" s="13" t="s">
        <v>233</v>
      </c>
      <c r="D5" s="14" t="s">
        <v>101</v>
      </c>
      <c r="E5" s="15" t="n">
        <v>554200</v>
      </c>
      <c r="F5" s="16" t="str">
        <f aca="false">IF(AND(H5&lt;&gt;"",H5&lt;Overzicht!$D$7),"Referentie",IF(E5="","Geen SW-cijfer",IF(E5&gt;=Overzicht!$D$5,"Prioriteit",IF(E5&gt;=Overzicht!$D$6,"Monitoren","Onder drempel"))))</f>
        <v>Referentie</v>
      </c>
      <c r="G5" s="17" t="n">
        <v>-0.24</v>
      </c>
      <c r="H5" s="18" t="n">
        <v>1</v>
      </c>
      <c r="I5" s="19" t="n">
        <v>0.21</v>
      </c>
      <c r="J5" s="12" t="s">
        <v>234</v>
      </c>
      <c r="K5" s="14"/>
      <c r="L5" s="12" t="s">
        <v>45</v>
      </c>
      <c r="M5" s="20" t="n">
        <v>46292</v>
      </c>
      <c r="N5" s="20" t="n">
        <v>46292</v>
      </c>
      <c r="O5" s="21" t="s">
        <v>46</v>
      </c>
      <c r="P5" s="14" t="s">
        <v>235</v>
      </c>
    </row>
    <row r="6" customFormat="false" ht="23.85" hidden="false" customHeight="false" outlineLevel="0" collapsed="false">
      <c r="A6" s="12" t="s">
        <v>20</v>
      </c>
      <c r="B6" s="12" t="s">
        <v>236</v>
      </c>
      <c r="C6" s="13" t="s">
        <v>237</v>
      </c>
      <c r="D6" s="14" t="s">
        <v>106</v>
      </c>
      <c r="E6" s="15" t="n">
        <v>200500</v>
      </c>
      <c r="F6" s="16" t="str">
        <f aca="false">IF(AND(H6&lt;&gt;"",H6&lt;Overzicht!$D$7),"Referentie",IF(E6="","Geen SW-cijfer",IF(E6&gt;=Overzicht!$D$5,"Prioriteit",IF(E6&gt;=Overzicht!$D$6,"Monitoren","Onder drempel"))))</f>
        <v>Prioriteit</v>
      </c>
      <c r="G6" s="17" t="n">
        <v>-0.54</v>
      </c>
      <c r="H6" s="18" t="n">
        <v>5</v>
      </c>
      <c r="I6" s="19" t="n">
        <v>0.85</v>
      </c>
      <c r="J6" s="12" t="s">
        <v>238</v>
      </c>
      <c r="K6" s="14" t="s">
        <v>239</v>
      </c>
      <c r="L6" s="12" t="s">
        <v>45</v>
      </c>
      <c r="M6" s="20" t="n">
        <v>46292</v>
      </c>
      <c r="N6" s="20" t="n">
        <v>46292</v>
      </c>
      <c r="O6" s="21" t="s">
        <v>46</v>
      </c>
      <c r="P6" s="14" t="s">
        <v>240</v>
      </c>
    </row>
    <row r="7" customFormat="false" ht="23.85" hidden="false" customHeight="false" outlineLevel="0" collapsed="false">
      <c r="A7" s="12" t="s">
        <v>20</v>
      </c>
      <c r="B7" s="12" t="s">
        <v>241</v>
      </c>
      <c r="C7" s="13" t="s">
        <v>242</v>
      </c>
      <c r="D7" s="14" t="s">
        <v>194</v>
      </c>
      <c r="E7" s="15" t="n">
        <v>86900</v>
      </c>
      <c r="F7" s="16" t="str">
        <f aca="false">IF(AND(H7&lt;&gt;"",H7&lt;Overzicht!$D$7),"Referentie",IF(E7="","Geen SW-cijfer",IF(E7&gt;=Overzicht!$D$5,"Prioriteit",IF(E7&gt;=Overzicht!$D$6,"Monitoren","Onder drempel"))))</f>
        <v>Prioriteit</v>
      </c>
      <c r="G7" s="17" t="n">
        <v>-0.41</v>
      </c>
      <c r="H7" s="18" t="n">
        <v>5</v>
      </c>
      <c r="I7" s="19" t="n">
        <v>0.89</v>
      </c>
      <c r="J7" s="12" t="s">
        <v>243</v>
      </c>
      <c r="K7" s="14" t="s">
        <v>195</v>
      </c>
      <c r="L7" s="12" t="s">
        <v>45</v>
      </c>
      <c r="M7" s="20" t="n">
        <v>46292</v>
      </c>
      <c r="N7" s="20" t="n">
        <v>46292</v>
      </c>
      <c r="O7" s="21" t="s">
        <v>46</v>
      </c>
      <c r="P7" s="14" t="s">
        <v>244</v>
      </c>
    </row>
    <row r="8" customFormat="false" ht="15" hidden="false" customHeight="false" outlineLevel="0" collapsed="false">
      <c r="A8" s="12" t="s">
        <v>20</v>
      </c>
      <c r="B8" s="12" t="s">
        <v>245</v>
      </c>
      <c r="C8" s="13" t="s">
        <v>246</v>
      </c>
      <c r="D8" s="14" t="s">
        <v>101</v>
      </c>
      <c r="E8" s="15" t="n">
        <v>40800</v>
      </c>
      <c r="F8" s="16" t="str">
        <f aca="false">IF(AND(H8&lt;&gt;"",H8&lt;Overzicht!$D$7),"Referentie",IF(E8="","Geen SW-cijfer",IF(E8&gt;=Overzicht!$D$5,"Prioriteit",IF(E8&gt;=Overzicht!$D$6,"Monitoren","Onder drempel"))))</f>
        <v>Referentie</v>
      </c>
      <c r="G8" s="17" t="n">
        <v>-0.34</v>
      </c>
      <c r="H8" s="18" t="n">
        <v>1</v>
      </c>
      <c r="I8" s="19" t="n">
        <v>0.31</v>
      </c>
      <c r="J8" s="12" t="s">
        <v>247</v>
      </c>
      <c r="K8" s="14"/>
      <c r="L8" s="12" t="s">
        <v>45</v>
      </c>
      <c r="M8" s="20" t="n">
        <v>46292</v>
      </c>
      <c r="N8" s="20" t="n">
        <v>46292</v>
      </c>
      <c r="O8" s="21" t="s">
        <v>46</v>
      </c>
      <c r="P8" s="14" t="s">
        <v>248</v>
      </c>
    </row>
    <row r="9" customFormat="false" ht="23.85" hidden="false" customHeight="false" outlineLevel="0" collapsed="false">
      <c r="A9" s="12" t="s">
        <v>20</v>
      </c>
      <c r="B9" s="12" t="s">
        <v>249</v>
      </c>
      <c r="C9" s="13" t="s">
        <v>250</v>
      </c>
      <c r="D9" s="14" t="s">
        <v>194</v>
      </c>
      <c r="E9" s="15"/>
      <c r="F9" s="16" t="str">
        <f aca="false">IF(AND(H9&lt;&gt;"",H9&lt;Overzicht!$D$7),"Referentie",IF(E9="","Geen SW-cijfer",IF(E9&gt;=Overzicht!$D$5,"Prioriteit",IF(E9&gt;=Overzicht!$D$6,"Monitoren","Onder drempel"))))</f>
        <v>Geen SW-cijfer</v>
      </c>
      <c r="G9" s="17" t="n">
        <v>0.93</v>
      </c>
      <c r="H9" s="18" t="n">
        <v>5</v>
      </c>
      <c r="I9" s="19" t="n">
        <v>0.96</v>
      </c>
      <c r="J9" s="12" t="s">
        <v>251</v>
      </c>
      <c r="K9" s="14" t="s">
        <v>140</v>
      </c>
      <c r="L9" s="12" t="s">
        <v>108</v>
      </c>
      <c r="M9" s="20" t="n">
        <v>46292</v>
      </c>
      <c r="N9" s="20" t="n">
        <v>46292</v>
      </c>
      <c r="O9" s="21" t="s">
        <v>46</v>
      </c>
      <c r="P9" s="14" t="s">
        <v>252</v>
      </c>
    </row>
    <row r="10" customFormat="false" ht="15" hidden="false" customHeight="false" outlineLevel="0" collapsed="false">
      <c r="A10" s="12" t="s">
        <v>20</v>
      </c>
      <c r="B10" s="12" t="s">
        <v>253</v>
      </c>
      <c r="C10" s="13" t="s">
        <v>254</v>
      </c>
      <c r="D10" s="14" t="s">
        <v>194</v>
      </c>
      <c r="E10" s="15"/>
      <c r="F10" s="16" t="str">
        <f aca="false">IF(AND(H10&lt;&gt;"",H10&lt;Overzicht!$D$7),"Referentie",IF(E10="","Geen SW-cijfer",IF(E10&gt;=Overzicht!$D$5,"Prioriteit",IF(E10&gt;=Overzicht!$D$6,"Monitoren","Onder drempel"))))</f>
        <v>Geen SW-cijfer</v>
      </c>
      <c r="G10" s="17" t="n">
        <v>-0.03</v>
      </c>
      <c r="H10" s="18" t="n">
        <v>4</v>
      </c>
      <c r="I10" s="19" t="n">
        <v>0.95</v>
      </c>
      <c r="J10" s="12" t="s">
        <v>255</v>
      </c>
      <c r="K10" s="14"/>
      <c r="L10" s="12" t="s">
        <v>108</v>
      </c>
      <c r="M10" s="20" t="n">
        <v>46292</v>
      </c>
      <c r="N10" s="20" t="n">
        <v>46292</v>
      </c>
      <c r="O10" s="21" t="s">
        <v>46</v>
      </c>
      <c r="P10" s="14" t="s">
        <v>256</v>
      </c>
    </row>
    <row r="11" customFormat="false" ht="15" hidden="false" customHeight="false" outlineLevel="0" collapsed="false">
      <c r="A11" s="12" t="s">
        <v>20</v>
      </c>
      <c r="B11" s="12" t="s">
        <v>257</v>
      </c>
      <c r="C11" s="13" t="s">
        <v>258</v>
      </c>
      <c r="D11" s="14" t="s">
        <v>101</v>
      </c>
      <c r="E11" s="15"/>
      <c r="F11" s="16" t="str">
        <f aca="false">IF(AND(H11&lt;&gt;"",H11&lt;Overzicht!$D$7),"Referentie",IF(E11="","Geen SW-cijfer",IF(E11&gt;=Overzicht!$D$5,"Prioriteit",IF(E11&gt;=Overzicht!$D$6,"Monitoren","Onder drempel"))))</f>
        <v>Geen SW-cijfer</v>
      </c>
      <c r="G11" s="17" t="n">
        <v>1.74</v>
      </c>
      <c r="H11" s="18" t="n">
        <v>5</v>
      </c>
      <c r="I11" s="19" t="n">
        <v>0.94</v>
      </c>
      <c r="J11" s="12" t="s">
        <v>255</v>
      </c>
      <c r="K11" s="14"/>
      <c r="L11" s="12" t="s">
        <v>45</v>
      </c>
      <c r="M11" s="20" t="n">
        <v>46292</v>
      </c>
      <c r="N11" s="20" t="n">
        <v>46292</v>
      </c>
      <c r="O11" s="21" t="s">
        <v>46</v>
      </c>
      <c r="P11" s="14" t="s">
        <v>259</v>
      </c>
    </row>
  </sheetData>
  <autoFilter ref="A4:P11"/>
  <conditionalFormatting sqref="F5:F11">
    <cfRule type="expression" priority="2" aboveAverage="0" equalAverage="0" bottom="0" percent="0" rank="0" text="" dxfId="15">
      <formula>$F5="Prioriteit"</formula>
    </cfRule>
    <cfRule type="expression" priority="3" aboveAverage="0" equalAverage="0" bottom="0" percent="0" rank="0" text="" dxfId="16">
      <formula>$F5="Monitoren"</formula>
    </cfRule>
    <cfRule type="expression" priority="4" aboveAverage="0" equalAverage="0" bottom="0" percent="0" rank="0" text="" dxfId="17">
      <formula>$F5="Onder drempel"</formula>
    </cfRule>
    <cfRule type="expression" priority="5" aboveAverage="0" equalAverage="0" bottom="0" percent="0" rank="0" text="" dxfId="17">
      <formula>$F5="Geen SW-cijfer"</formula>
    </cfRule>
    <cfRule type="expression" priority="6" aboveAverage="0" equalAverage="0" bottom="0" percent="0" rank="0" text="" dxfId="18">
      <formula>$F5="Referentie"</formula>
    </cfRule>
  </conditionalFormatting>
  <conditionalFormatting sqref="E5:E11">
    <cfRule type="dataBar" priority="7">
      <dataBar showValue="1" minLength="10" maxLength="90">
        <cfvo type="num" val="0"/>
        <cfvo type="max" val="0"/>
        <color rgb="FF8EA9DB"/>
      </dataBar>
      <extLst>
        <ext xmlns:x14="http://schemas.microsoft.com/office/spreadsheetml/2009/9/main" uri="{B025F937-C7B1-47D3-B67F-A62EFF666E3E}">
          <x14:id>{53B43765-5438-4C10-A9FF-DF776613937C}</x14:id>
        </ext>
      </extLst>
    </cfRule>
  </conditionalFormatting>
  <conditionalFormatting sqref="G5:G11">
    <cfRule type="expression" priority="8" aboveAverage="0" equalAverage="0" bottom="0" percent="0" rank="0" text="" dxfId="19">
      <formula>AND($G5&lt;&gt;"",$G5&gt;=0.25)</formula>
    </cfRule>
    <cfRule type="expression" priority="9" aboveAverage="0" equalAverage="0" bottom="0" percent="0" rank="0" text="" dxfId="20">
      <formula>AND($G5&lt;&gt;"",$G5&lt;=-0.25)</formula>
    </cfRule>
  </conditionalFormatting>
  <dataValidations count="1">
    <dataValidation allowBlank="true" errorStyle="stop" operator="between" showDropDown="false" showErrorMessage="false" showInputMessage="false" sqref="O5:O11" type="list">
      <formula1>"nee,ja,deels"</formula1>
      <formula2>0</formula2>
    </dataValidation>
  </dataValidations>
  <hyperlinks>
    <hyperlink ref="C5" r:id="rId1" display="pinkboutique.co.uk"/>
    <hyperlink ref="C6" r:id="rId2" display="wilson-and-carter.com"/>
    <hyperlink ref="C7" r:id="rId3" display="wentworthlondon.com"/>
    <hyperlink ref="C8" r:id="rId4" display="femmeluxe.co.uk"/>
    <hyperlink ref="C9" r:id="rId5" display="chapslondon.co.uk"/>
    <hyperlink ref="C10" r:id="rId6" display="londonward.co"/>
    <hyperlink ref="C11" r:id="rId7" display="mayfairandfinch.co.u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8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3B43765-5438-4C10-A9FF-DF776613937C}">
            <x14:dataBar minLength="10" maxLength="90" axisPosition="none" gradient="true">
              <x14:cfvo type="num">
                <xm:f>0</xm:f>
              </x14:cfvo>
              <x14:cfvo type="max"/>
              <x14:negativeFillColor rgb="FF8EA9DB"/>
              <x14:axisColor rgb="FF000000"/>
            </x14:dataBar>
          </x14:cfRule>
          <xm:sqref>E5:E11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D08E"/>
    <pageSetUpPr fitToPage="true"/>
  </sheetPr>
  <dimension ref="A1:H1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4"/>
    <col collapsed="false" customWidth="true" hidden="false" outlineLevel="0" max="3" min="3" style="0" width="7"/>
    <col collapsed="false" customWidth="true" hidden="false" outlineLevel="0" max="4" min="4" style="0" width="60"/>
    <col collapsed="false" customWidth="true" hidden="false" outlineLevel="0" max="5" min="5" style="0" width="9"/>
    <col collapsed="false" customWidth="true" hidden="false" outlineLevel="0" max="6" min="6" style="0" width="28"/>
    <col collapsed="false" customWidth="true" hidden="false" outlineLevel="0" max="7" min="7" style="0" width="14"/>
    <col collapsed="false" customWidth="true" hidden="false" outlineLevel="0" max="8" min="8" style="0" width="13"/>
  </cols>
  <sheetData>
    <row r="1" customFormat="false" ht="19.7" hidden="false" customHeight="false" outlineLevel="0" collapsed="false">
      <c r="A1" s="1" t="s">
        <v>263</v>
      </c>
    </row>
    <row r="2" customFormat="false" ht="15" hidden="false" customHeight="false" outlineLevel="0" collapsed="false">
      <c r="A2" s="2" t="s">
        <v>264</v>
      </c>
    </row>
    <row r="4" customFormat="false" ht="30" hidden="false" customHeight="true" outlineLevel="0" collapsed="false">
      <c r="A4" s="7" t="s">
        <v>6</v>
      </c>
      <c r="B4" s="7" t="s">
        <v>26</v>
      </c>
      <c r="C4" s="7" t="s">
        <v>265</v>
      </c>
      <c r="D4" s="7" t="s">
        <v>266</v>
      </c>
      <c r="E4" s="7" t="s">
        <v>267</v>
      </c>
      <c r="F4" s="7" t="s">
        <v>28</v>
      </c>
      <c r="G4" s="7" t="s">
        <v>268</v>
      </c>
      <c r="H4" s="7" t="s">
        <v>269</v>
      </c>
    </row>
    <row r="5" customFormat="false" ht="15" hidden="false" customHeight="false" outlineLevel="0" collapsed="false">
      <c r="A5" s="9" t="s">
        <v>16</v>
      </c>
      <c r="B5" s="9" t="s">
        <v>42</v>
      </c>
      <c r="C5" s="9" t="n">
        <v>1</v>
      </c>
      <c r="D5" s="9" t="s">
        <v>270</v>
      </c>
      <c r="E5" s="22" t="n">
        <v>42.99</v>
      </c>
      <c r="F5" s="9" t="s">
        <v>271</v>
      </c>
      <c r="G5" s="8" t="s">
        <v>272</v>
      </c>
      <c r="H5" s="23" t="n">
        <v>46292</v>
      </c>
    </row>
    <row r="6" customFormat="false" ht="15" hidden="false" customHeight="false" outlineLevel="0" collapsed="false">
      <c r="A6" s="9" t="s">
        <v>16</v>
      </c>
      <c r="B6" s="9" t="s">
        <v>42</v>
      </c>
      <c r="C6" s="9" t="n">
        <v>2</v>
      </c>
      <c r="D6" s="9" t="s">
        <v>273</v>
      </c>
      <c r="E6" s="22" t="n">
        <v>40.99</v>
      </c>
      <c r="F6" s="9" t="s">
        <v>274</v>
      </c>
      <c r="G6" s="8" t="s">
        <v>272</v>
      </c>
      <c r="H6" s="23" t="n">
        <v>46292</v>
      </c>
    </row>
    <row r="7" customFormat="false" ht="15" hidden="false" customHeight="false" outlineLevel="0" collapsed="false">
      <c r="A7" s="9" t="s">
        <v>16</v>
      </c>
      <c r="B7" s="9" t="s">
        <v>42</v>
      </c>
      <c r="C7" s="9" t="n">
        <v>3</v>
      </c>
      <c r="D7" s="9" t="s">
        <v>275</v>
      </c>
      <c r="E7" s="22" t="n">
        <v>100.95</v>
      </c>
      <c r="F7" s="9" t="s">
        <v>274</v>
      </c>
      <c r="G7" s="8" t="s">
        <v>272</v>
      </c>
      <c r="H7" s="23" t="n">
        <v>46292</v>
      </c>
    </row>
    <row r="8" customFormat="false" ht="15" hidden="false" customHeight="false" outlineLevel="0" collapsed="false">
      <c r="A8" s="9" t="s">
        <v>16</v>
      </c>
      <c r="B8" s="9" t="s">
        <v>42</v>
      </c>
      <c r="C8" s="9" t="n">
        <v>4</v>
      </c>
      <c r="D8" s="9" t="s">
        <v>276</v>
      </c>
      <c r="E8" s="22" t="n">
        <v>38.99</v>
      </c>
      <c r="F8" s="9" t="s">
        <v>277</v>
      </c>
      <c r="G8" s="8" t="s">
        <v>272</v>
      </c>
      <c r="H8" s="23" t="n">
        <v>46292</v>
      </c>
    </row>
    <row r="9" customFormat="false" ht="15" hidden="false" customHeight="false" outlineLevel="0" collapsed="false">
      <c r="A9" s="9" t="s">
        <v>16</v>
      </c>
      <c r="B9" s="9" t="s">
        <v>42</v>
      </c>
      <c r="C9" s="9" t="n">
        <v>5</v>
      </c>
      <c r="D9" s="9" t="s">
        <v>278</v>
      </c>
      <c r="E9" s="22" t="n">
        <v>75.95</v>
      </c>
      <c r="F9" s="9" t="s">
        <v>277</v>
      </c>
      <c r="G9" s="8" t="s">
        <v>272</v>
      </c>
      <c r="H9" s="23" t="n">
        <v>46292</v>
      </c>
    </row>
    <row r="10" customFormat="false" ht="15" hidden="false" customHeight="false" outlineLevel="0" collapsed="false">
      <c r="A10" s="9" t="s">
        <v>16</v>
      </c>
      <c r="B10" s="9" t="s">
        <v>42</v>
      </c>
      <c r="C10" s="9" t="n">
        <v>6</v>
      </c>
      <c r="D10" s="9" t="s">
        <v>279</v>
      </c>
      <c r="E10" s="22" t="n">
        <v>78.75</v>
      </c>
      <c r="F10" s="9" t="s">
        <v>277</v>
      </c>
      <c r="G10" s="8" t="s">
        <v>272</v>
      </c>
      <c r="H10" s="23" t="n">
        <v>46292</v>
      </c>
    </row>
    <row r="11" customFormat="false" ht="15" hidden="false" customHeight="false" outlineLevel="0" collapsed="false">
      <c r="A11" s="9" t="s">
        <v>16</v>
      </c>
      <c r="B11" s="9" t="s">
        <v>42</v>
      </c>
      <c r="C11" s="9" t="n">
        <v>7</v>
      </c>
      <c r="D11" s="9" t="s">
        <v>280</v>
      </c>
      <c r="E11" s="22" t="n">
        <v>87.95</v>
      </c>
      <c r="F11" s="9" t="s">
        <v>277</v>
      </c>
      <c r="G11" s="8" t="s">
        <v>272</v>
      </c>
      <c r="H11" s="23" t="n">
        <v>46292</v>
      </c>
    </row>
    <row r="12" customFormat="false" ht="15" hidden="false" customHeight="false" outlineLevel="0" collapsed="false">
      <c r="A12" s="9" t="s">
        <v>16</v>
      </c>
      <c r="B12" s="9" t="s">
        <v>42</v>
      </c>
      <c r="C12" s="9" t="n">
        <v>8</v>
      </c>
      <c r="D12" s="9" t="s">
        <v>281</v>
      </c>
      <c r="E12" s="22" t="n">
        <v>96.99</v>
      </c>
      <c r="F12" s="9" t="s">
        <v>282</v>
      </c>
      <c r="G12" s="8" t="s">
        <v>272</v>
      </c>
      <c r="H12" s="23" t="n">
        <v>46292</v>
      </c>
    </row>
    <row r="13" customFormat="false" ht="15" hidden="false" customHeight="false" outlineLevel="0" collapsed="false">
      <c r="A13" s="9" t="s">
        <v>16</v>
      </c>
      <c r="B13" s="9" t="s">
        <v>42</v>
      </c>
      <c r="C13" s="9" t="n">
        <v>9</v>
      </c>
      <c r="D13" s="9" t="s">
        <v>283</v>
      </c>
      <c r="E13" s="22" t="n">
        <v>98.95</v>
      </c>
      <c r="F13" s="9" t="s">
        <v>282</v>
      </c>
      <c r="G13" s="8" t="s">
        <v>272</v>
      </c>
      <c r="H13" s="23" t="n">
        <v>46292</v>
      </c>
    </row>
    <row r="14" customFormat="false" ht="15" hidden="false" customHeight="false" outlineLevel="0" collapsed="false">
      <c r="A14" s="9" t="s">
        <v>16</v>
      </c>
      <c r="B14" s="9" t="s">
        <v>42</v>
      </c>
      <c r="C14" s="9" t="n">
        <v>10</v>
      </c>
      <c r="D14" s="9" t="s">
        <v>284</v>
      </c>
      <c r="E14" s="22" t="n">
        <v>70.99</v>
      </c>
      <c r="F14" s="9" t="s">
        <v>282</v>
      </c>
      <c r="G14" s="8" t="s">
        <v>272</v>
      </c>
      <c r="H14" s="23" t="n">
        <v>46292</v>
      </c>
    </row>
    <row r="15" customFormat="false" ht="15" hidden="false" customHeight="false" outlineLevel="0" collapsed="false">
      <c r="A15" s="9" t="s">
        <v>16</v>
      </c>
      <c r="B15" s="9" t="s">
        <v>55</v>
      </c>
      <c r="C15" s="9" t="n">
        <v>1</v>
      </c>
      <c r="D15" s="9" t="s">
        <v>285</v>
      </c>
      <c r="E15" s="22" t="n">
        <v>39.95</v>
      </c>
      <c r="F15" s="9" t="s">
        <v>286</v>
      </c>
      <c r="G15" s="8" t="s">
        <v>272</v>
      </c>
      <c r="H15" s="23" t="n">
        <v>46292</v>
      </c>
    </row>
    <row r="16" customFormat="false" ht="15" hidden="false" customHeight="false" outlineLevel="0" collapsed="false">
      <c r="A16" s="9" t="s">
        <v>16</v>
      </c>
      <c r="B16" s="9" t="s">
        <v>55</v>
      </c>
      <c r="C16" s="9" t="n">
        <v>2</v>
      </c>
      <c r="D16" s="9" t="s">
        <v>287</v>
      </c>
      <c r="E16" s="22" t="n">
        <v>59.95</v>
      </c>
      <c r="F16" s="9" t="s">
        <v>288</v>
      </c>
      <c r="G16" s="8" t="s">
        <v>272</v>
      </c>
      <c r="H16" s="23" t="n">
        <v>46292</v>
      </c>
    </row>
    <row r="17" customFormat="false" ht="15" hidden="false" customHeight="false" outlineLevel="0" collapsed="false">
      <c r="A17" s="9" t="s">
        <v>16</v>
      </c>
      <c r="B17" s="9" t="s">
        <v>55</v>
      </c>
      <c r="C17" s="9" t="n">
        <v>3</v>
      </c>
      <c r="D17" s="9" t="s">
        <v>289</v>
      </c>
      <c r="E17" s="22" t="n">
        <v>39.95</v>
      </c>
      <c r="F17" s="9" t="s">
        <v>290</v>
      </c>
      <c r="G17" s="8" t="s">
        <v>272</v>
      </c>
      <c r="H17" s="23" t="n">
        <v>46292</v>
      </c>
    </row>
    <row r="18" customFormat="false" ht="15" hidden="false" customHeight="false" outlineLevel="0" collapsed="false">
      <c r="A18" s="9" t="s">
        <v>16</v>
      </c>
      <c r="B18" s="9" t="s">
        <v>55</v>
      </c>
      <c r="C18" s="9" t="n">
        <v>4</v>
      </c>
      <c r="D18" s="9" t="s">
        <v>291</v>
      </c>
      <c r="E18" s="22" t="n">
        <v>34.95</v>
      </c>
      <c r="F18" s="9" t="s">
        <v>292</v>
      </c>
      <c r="G18" s="8" t="s">
        <v>272</v>
      </c>
      <c r="H18" s="23" t="n">
        <v>46292</v>
      </c>
    </row>
    <row r="19" customFormat="false" ht="15" hidden="false" customHeight="false" outlineLevel="0" collapsed="false">
      <c r="A19" s="9" t="s">
        <v>16</v>
      </c>
      <c r="B19" s="9" t="s">
        <v>55</v>
      </c>
      <c r="C19" s="9" t="n">
        <v>5</v>
      </c>
      <c r="D19" s="9" t="s">
        <v>293</v>
      </c>
      <c r="E19" s="22" t="n">
        <v>44.95</v>
      </c>
      <c r="F19" s="9" t="s">
        <v>294</v>
      </c>
      <c r="G19" s="8" t="s">
        <v>272</v>
      </c>
      <c r="H19" s="23" t="n">
        <v>46292</v>
      </c>
    </row>
    <row r="20" customFormat="false" ht="15" hidden="false" customHeight="false" outlineLevel="0" collapsed="false">
      <c r="A20" s="9" t="s">
        <v>16</v>
      </c>
      <c r="B20" s="9" t="s">
        <v>55</v>
      </c>
      <c r="C20" s="9" t="n">
        <v>6</v>
      </c>
      <c r="D20" s="9" t="s">
        <v>295</v>
      </c>
      <c r="E20" s="22" t="n">
        <v>39.95</v>
      </c>
      <c r="F20" s="9" t="s">
        <v>296</v>
      </c>
      <c r="G20" s="8" t="s">
        <v>272</v>
      </c>
      <c r="H20" s="23" t="n">
        <v>46292</v>
      </c>
    </row>
    <row r="21" customFormat="false" ht="15" hidden="false" customHeight="false" outlineLevel="0" collapsed="false">
      <c r="A21" s="9" t="s">
        <v>16</v>
      </c>
      <c r="B21" s="9" t="s">
        <v>55</v>
      </c>
      <c r="C21" s="9" t="n">
        <v>7</v>
      </c>
      <c r="D21" s="9" t="s">
        <v>297</v>
      </c>
      <c r="E21" s="22" t="n">
        <v>44.95</v>
      </c>
      <c r="F21" s="9" t="s">
        <v>298</v>
      </c>
      <c r="G21" s="8" t="s">
        <v>272</v>
      </c>
      <c r="H21" s="23" t="n">
        <v>46292</v>
      </c>
    </row>
    <row r="22" customFormat="false" ht="15" hidden="false" customHeight="false" outlineLevel="0" collapsed="false">
      <c r="A22" s="9" t="s">
        <v>16</v>
      </c>
      <c r="B22" s="9" t="s">
        <v>55</v>
      </c>
      <c r="C22" s="9" t="n">
        <v>8</v>
      </c>
      <c r="D22" s="9" t="s">
        <v>299</v>
      </c>
      <c r="E22" s="22" t="n">
        <v>39.95</v>
      </c>
      <c r="F22" s="9" t="s">
        <v>300</v>
      </c>
      <c r="G22" s="8" t="s">
        <v>272</v>
      </c>
      <c r="H22" s="23" t="n">
        <v>46292</v>
      </c>
    </row>
    <row r="23" customFormat="false" ht="15" hidden="false" customHeight="false" outlineLevel="0" collapsed="false">
      <c r="A23" s="9" t="s">
        <v>16</v>
      </c>
      <c r="B23" s="9" t="s">
        <v>55</v>
      </c>
      <c r="C23" s="9" t="n">
        <v>9</v>
      </c>
      <c r="D23" s="9" t="s">
        <v>301</v>
      </c>
      <c r="E23" s="22" t="n">
        <v>59.95</v>
      </c>
      <c r="F23" s="9" t="s">
        <v>302</v>
      </c>
      <c r="G23" s="8" t="s">
        <v>272</v>
      </c>
      <c r="H23" s="23" t="n">
        <v>46292</v>
      </c>
    </row>
    <row r="24" customFormat="false" ht="15" hidden="false" customHeight="false" outlineLevel="0" collapsed="false">
      <c r="A24" s="9" t="s">
        <v>16</v>
      </c>
      <c r="B24" s="9" t="s">
        <v>49</v>
      </c>
      <c r="C24" s="9" t="n">
        <v>1</v>
      </c>
      <c r="D24" s="9" t="s">
        <v>303</v>
      </c>
      <c r="E24" s="22" t="n">
        <v>54.95</v>
      </c>
      <c r="F24" s="9" t="s">
        <v>304</v>
      </c>
      <c r="G24" s="8" t="s">
        <v>272</v>
      </c>
      <c r="H24" s="23" t="n">
        <v>46292</v>
      </c>
    </row>
    <row r="25" customFormat="false" ht="15" hidden="false" customHeight="false" outlineLevel="0" collapsed="false">
      <c r="A25" s="9" t="s">
        <v>16</v>
      </c>
      <c r="B25" s="9" t="s">
        <v>49</v>
      </c>
      <c r="C25" s="9" t="n">
        <v>2</v>
      </c>
      <c r="D25" s="9" t="s">
        <v>305</v>
      </c>
      <c r="E25" s="22" t="n">
        <v>39.95</v>
      </c>
      <c r="F25" s="9" t="s">
        <v>306</v>
      </c>
      <c r="G25" s="8" t="s">
        <v>272</v>
      </c>
      <c r="H25" s="23" t="n">
        <v>46292</v>
      </c>
    </row>
    <row r="26" customFormat="false" ht="15" hidden="false" customHeight="false" outlineLevel="0" collapsed="false">
      <c r="A26" s="9" t="s">
        <v>16</v>
      </c>
      <c r="B26" s="9" t="s">
        <v>49</v>
      </c>
      <c r="C26" s="9" t="n">
        <v>3</v>
      </c>
      <c r="D26" s="9" t="s">
        <v>307</v>
      </c>
      <c r="E26" s="22" t="n">
        <v>54.95</v>
      </c>
      <c r="F26" s="9" t="s">
        <v>308</v>
      </c>
      <c r="G26" s="8" t="s">
        <v>272</v>
      </c>
      <c r="H26" s="23" t="n">
        <v>46292</v>
      </c>
    </row>
    <row r="27" customFormat="false" ht="15" hidden="false" customHeight="false" outlineLevel="0" collapsed="false">
      <c r="A27" s="9" t="s">
        <v>16</v>
      </c>
      <c r="B27" s="9" t="s">
        <v>49</v>
      </c>
      <c r="C27" s="9" t="n">
        <v>4</v>
      </c>
      <c r="D27" s="9" t="s">
        <v>309</v>
      </c>
      <c r="E27" s="22" t="n">
        <v>59.95</v>
      </c>
      <c r="F27" s="9" t="s">
        <v>310</v>
      </c>
      <c r="G27" s="8" t="s">
        <v>272</v>
      </c>
      <c r="H27" s="23" t="n">
        <v>46292</v>
      </c>
    </row>
    <row r="28" customFormat="false" ht="15" hidden="false" customHeight="false" outlineLevel="0" collapsed="false">
      <c r="A28" s="9" t="s">
        <v>16</v>
      </c>
      <c r="B28" s="9" t="s">
        <v>49</v>
      </c>
      <c r="C28" s="9" t="n">
        <v>5</v>
      </c>
      <c r="D28" s="9" t="s">
        <v>311</v>
      </c>
      <c r="E28" s="22" t="n">
        <v>39.95</v>
      </c>
      <c r="F28" s="9" t="s">
        <v>304</v>
      </c>
      <c r="G28" s="8" t="s">
        <v>272</v>
      </c>
      <c r="H28" s="23" t="n">
        <v>46292</v>
      </c>
    </row>
    <row r="29" customFormat="false" ht="15" hidden="false" customHeight="false" outlineLevel="0" collapsed="false">
      <c r="A29" s="9" t="s">
        <v>16</v>
      </c>
      <c r="B29" s="9" t="s">
        <v>49</v>
      </c>
      <c r="C29" s="9" t="n">
        <v>6</v>
      </c>
      <c r="D29" s="9" t="s">
        <v>312</v>
      </c>
      <c r="E29" s="22" t="n">
        <v>49.95</v>
      </c>
      <c r="F29" s="9" t="s">
        <v>313</v>
      </c>
      <c r="G29" s="8" t="s">
        <v>272</v>
      </c>
      <c r="H29" s="23" t="n">
        <v>46292</v>
      </c>
    </row>
    <row r="30" customFormat="false" ht="15" hidden="false" customHeight="false" outlineLevel="0" collapsed="false">
      <c r="A30" s="9" t="s">
        <v>16</v>
      </c>
      <c r="B30" s="9" t="s">
        <v>49</v>
      </c>
      <c r="C30" s="9" t="n">
        <v>7</v>
      </c>
      <c r="D30" s="9" t="s">
        <v>314</v>
      </c>
      <c r="E30" s="22" t="n">
        <v>54.95</v>
      </c>
      <c r="F30" s="9" t="s">
        <v>306</v>
      </c>
      <c r="G30" s="8" t="s">
        <v>272</v>
      </c>
      <c r="H30" s="23" t="n">
        <v>46292</v>
      </c>
    </row>
    <row r="31" customFormat="false" ht="15" hidden="false" customHeight="false" outlineLevel="0" collapsed="false">
      <c r="A31" s="9" t="s">
        <v>16</v>
      </c>
      <c r="B31" s="9" t="s">
        <v>49</v>
      </c>
      <c r="C31" s="9" t="n">
        <v>8</v>
      </c>
      <c r="D31" s="9" t="s">
        <v>315</v>
      </c>
      <c r="E31" s="22" t="n">
        <v>39.95</v>
      </c>
      <c r="F31" s="9" t="s">
        <v>306</v>
      </c>
      <c r="G31" s="8" t="s">
        <v>272</v>
      </c>
      <c r="H31" s="23" t="n">
        <v>46292</v>
      </c>
    </row>
    <row r="32" customFormat="false" ht="15" hidden="false" customHeight="false" outlineLevel="0" collapsed="false">
      <c r="A32" s="9" t="s">
        <v>16</v>
      </c>
      <c r="B32" s="9" t="s">
        <v>49</v>
      </c>
      <c r="C32" s="9" t="n">
        <v>9</v>
      </c>
      <c r="D32" s="9" t="s">
        <v>316</v>
      </c>
      <c r="E32" s="22" t="n">
        <v>39.95</v>
      </c>
      <c r="F32" s="9" t="s">
        <v>306</v>
      </c>
      <c r="G32" s="8" t="s">
        <v>272</v>
      </c>
      <c r="H32" s="23" t="n">
        <v>46292</v>
      </c>
    </row>
    <row r="33" customFormat="false" ht="15" hidden="false" customHeight="false" outlineLevel="0" collapsed="false">
      <c r="A33" s="9" t="s">
        <v>16</v>
      </c>
      <c r="B33" s="9" t="s">
        <v>49</v>
      </c>
      <c r="C33" s="9" t="n">
        <v>10</v>
      </c>
      <c r="D33" s="9" t="s">
        <v>317</v>
      </c>
      <c r="E33" s="22" t="n">
        <v>49.95</v>
      </c>
      <c r="F33" s="9" t="s">
        <v>306</v>
      </c>
      <c r="G33" s="8" t="s">
        <v>272</v>
      </c>
      <c r="H33" s="23" t="n">
        <v>46292</v>
      </c>
    </row>
    <row r="34" customFormat="false" ht="15" hidden="false" customHeight="false" outlineLevel="0" collapsed="false">
      <c r="A34" s="9" t="s">
        <v>16</v>
      </c>
      <c r="B34" s="9" t="s">
        <v>95</v>
      </c>
      <c r="C34" s="9" t="n">
        <v>1</v>
      </c>
      <c r="D34" s="9" t="s">
        <v>318</v>
      </c>
      <c r="E34" s="22" t="n">
        <v>69.95</v>
      </c>
      <c r="F34" s="9" t="s">
        <v>319</v>
      </c>
      <c r="G34" s="8" t="s">
        <v>272</v>
      </c>
      <c r="H34" s="23" t="n">
        <v>46292</v>
      </c>
    </row>
    <row r="35" customFormat="false" ht="15" hidden="false" customHeight="false" outlineLevel="0" collapsed="false">
      <c r="A35" s="9" t="s">
        <v>16</v>
      </c>
      <c r="B35" s="9" t="s">
        <v>95</v>
      </c>
      <c r="C35" s="9" t="n">
        <v>2</v>
      </c>
      <c r="D35" s="9" t="s">
        <v>320</v>
      </c>
      <c r="E35" s="22" t="n">
        <v>39.95</v>
      </c>
      <c r="F35" s="9" t="s">
        <v>321</v>
      </c>
      <c r="G35" s="8" t="s">
        <v>272</v>
      </c>
      <c r="H35" s="23" t="n">
        <v>46292</v>
      </c>
    </row>
    <row r="36" customFormat="false" ht="15" hidden="false" customHeight="false" outlineLevel="0" collapsed="false">
      <c r="A36" s="9" t="s">
        <v>16</v>
      </c>
      <c r="B36" s="9" t="s">
        <v>95</v>
      </c>
      <c r="C36" s="9" t="n">
        <v>3</v>
      </c>
      <c r="D36" s="9" t="s">
        <v>322</v>
      </c>
      <c r="E36" s="22" t="n">
        <v>39.95</v>
      </c>
      <c r="F36" s="9" t="s">
        <v>323</v>
      </c>
      <c r="G36" s="8" t="s">
        <v>272</v>
      </c>
      <c r="H36" s="23" t="n">
        <v>46292</v>
      </c>
    </row>
    <row r="37" customFormat="false" ht="15" hidden="false" customHeight="false" outlineLevel="0" collapsed="false">
      <c r="A37" s="9" t="s">
        <v>16</v>
      </c>
      <c r="B37" s="9" t="s">
        <v>95</v>
      </c>
      <c r="C37" s="9" t="n">
        <v>4</v>
      </c>
      <c r="D37" s="9" t="s">
        <v>324</v>
      </c>
      <c r="E37" s="22" t="n">
        <v>64.95</v>
      </c>
      <c r="F37" s="9" t="s">
        <v>319</v>
      </c>
      <c r="G37" s="8" t="s">
        <v>272</v>
      </c>
      <c r="H37" s="23" t="n">
        <v>46292</v>
      </c>
    </row>
    <row r="38" customFormat="false" ht="15" hidden="false" customHeight="false" outlineLevel="0" collapsed="false">
      <c r="A38" s="9" t="s">
        <v>16</v>
      </c>
      <c r="B38" s="9" t="s">
        <v>95</v>
      </c>
      <c r="C38" s="9" t="n">
        <v>5</v>
      </c>
      <c r="D38" s="9" t="s">
        <v>325</v>
      </c>
      <c r="E38" s="22" t="n">
        <v>30.45</v>
      </c>
      <c r="F38" s="9" t="s">
        <v>323</v>
      </c>
      <c r="G38" s="8" t="s">
        <v>272</v>
      </c>
      <c r="H38" s="23" t="n">
        <v>46292</v>
      </c>
    </row>
    <row r="39" customFormat="false" ht="15" hidden="false" customHeight="false" outlineLevel="0" collapsed="false">
      <c r="A39" s="9" t="s">
        <v>16</v>
      </c>
      <c r="B39" s="9" t="s">
        <v>95</v>
      </c>
      <c r="C39" s="9" t="n">
        <v>6</v>
      </c>
      <c r="D39" s="9" t="s">
        <v>326</v>
      </c>
      <c r="E39" s="22" t="n">
        <v>30.45</v>
      </c>
      <c r="F39" s="9" t="s">
        <v>327</v>
      </c>
      <c r="G39" s="8" t="s">
        <v>272</v>
      </c>
      <c r="H39" s="23" t="n">
        <v>46292</v>
      </c>
    </row>
    <row r="40" customFormat="false" ht="15" hidden="false" customHeight="false" outlineLevel="0" collapsed="false">
      <c r="A40" s="9" t="s">
        <v>16</v>
      </c>
      <c r="B40" s="9" t="s">
        <v>95</v>
      </c>
      <c r="C40" s="9" t="n">
        <v>7</v>
      </c>
      <c r="D40" s="9" t="s">
        <v>328</v>
      </c>
      <c r="E40" s="22" t="n">
        <v>34.45</v>
      </c>
      <c r="F40" s="9" t="s">
        <v>321</v>
      </c>
      <c r="G40" s="8" t="s">
        <v>272</v>
      </c>
      <c r="H40" s="23" t="n">
        <v>46292</v>
      </c>
    </row>
    <row r="41" customFormat="false" ht="15" hidden="false" customHeight="false" outlineLevel="0" collapsed="false">
      <c r="A41" s="9" t="s">
        <v>16</v>
      </c>
      <c r="B41" s="9" t="s">
        <v>95</v>
      </c>
      <c r="C41" s="9" t="n">
        <v>8</v>
      </c>
      <c r="D41" s="9" t="s">
        <v>329</v>
      </c>
      <c r="E41" s="22" t="n">
        <v>35.45</v>
      </c>
      <c r="F41" s="9" t="s">
        <v>330</v>
      </c>
      <c r="G41" s="8" t="s">
        <v>272</v>
      </c>
      <c r="H41" s="23" t="n">
        <v>46292</v>
      </c>
    </row>
    <row r="42" customFormat="false" ht="15" hidden="false" customHeight="false" outlineLevel="0" collapsed="false">
      <c r="A42" s="9" t="s">
        <v>16</v>
      </c>
      <c r="B42" s="9" t="s">
        <v>95</v>
      </c>
      <c r="C42" s="9" t="n">
        <v>9</v>
      </c>
      <c r="D42" s="9" t="s">
        <v>331</v>
      </c>
      <c r="E42" s="22" t="n">
        <v>39.95</v>
      </c>
      <c r="F42" s="9" t="s">
        <v>323</v>
      </c>
      <c r="G42" s="8" t="s">
        <v>272</v>
      </c>
      <c r="H42" s="23" t="n">
        <v>46292</v>
      </c>
    </row>
    <row r="43" customFormat="false" ht="15" hidden="false" customHeight="false" outlineLevel="0" collapsed="false">
      <c r="A43" s="9" t="s">
        <v>16</v>
      </c>
      <c r="B43" s="9" t="s">
        <v>95</v>
      </c>
      <c r="C43" s="9" t="n">
        <v>10</v>
      </c>
      <c r="D43" s="9" t="s">
        <v>332</v>
      </c>
      <c r="E43" s="22" t="n">
        <v>149.95</v>
      </c>
      <c r="F43" s="9" t="s">
        <v>323</v>
      </c>
      <c r="G43" s="8" t="s">
        <v>272</v>
      </c>
      <c r="H43" s="23" t="n">
        <v>46292</v>
      </c>
    </row>
    <row r="44" customFormat="false" ht="15" hidden="false" customHeight="false" outlineLevel="0" collapsed="false">
      <c r="A44" s="9" t="s">
        <v>16</v>
      </c>
      <c r="B44" s="9" t="s">
        <v>66</v>
      </c>
      <c r="C44" s="9" t="n">
        <v>1</v>
      </c>
      <c r="D44" s="9" t="s">
        <v>333</v>
      </c>
      <c r="E44" s="22" t="n">
        <v>59.95</v>
      </c>
      <c r="F44" s="9" t="s">
        <v>334</v>
      </c>
      <c r="G44" s="8" t="s">
        <v>272</v>
      </c>
      <c r="H44" s="23" t="n">
        <v>46292</v>
      </c>
    </row>
    <row r="45" customFormat="false" ht="15" hidden="false" customHeight="false" outlineLevel="0" collapsed="false">
      <c r="A45" s="9" t="s">
        <v>16</v>
      </c>
      <c r="B45" s="9" t="s">
        <v>66</v>
      </c>
      <c r="C45" s="9" t="n">
        <v>2</v>
      </c>
      <c r="D45" s="9" t="s">
        <v>335</v>
      </c>
      <c r="E45" s="22" t="n">
        <v>69.95</v>
      </c>
      <c r="F45" s="9" t="s">
        <v>336</v>
      </c>
      <c r="G45" s="8" t="s">
        <v>272</v>
      </c>
      <c r="H45" s="23" t="n">
        <v>46292</v>
      </c>
    </row>
    <row r="46" customFormat="false" ht="15" hidden="false" customHeight="false" outlineLevel="0" collapsed="false">
      <c r="A46" s="9" t="s">
        <v>16</v>
      </c>
      <c r="B46" s="9" t="s">
        <v>66</v>
      </c>
      <c r="C46" s="9" t="n">
        <v>3</v>
      </c>
      <c r="D46" s="9" t="s">
        <v>337</v>
      </c>
      <c r="E46" s="22" t="n">
        <v>49.95</v>
      </c>
      <c r="F46" s="9" t="s">
        <v>338</v>
      </c>
      <c r="G46" s="8" t="s">
        <v>272</v>
      </c>
      <c r="H46" s="23" t="n">
        <v>46292</v>
      </c>
    </row>
    <row r="47" customFormat="false" ht="15" hidden="false" customHeight="false" outlineLevel="0" collapsed="false">
      <c r="A47" s="9" t="s">
        <v>16</v>
      </c>
      <c r="B47" s="9" t="s">
        <v>66</v>
      </c>
      <c r="C47" s="9" t="n">
        <v>4</v>
      </c>
      <c r="D47" s="9" t="s">
        <v>339</v>
      </c>
      <c r="E47" s="22" t="n">
        <v>56.95</v>
      </c>
      <c r="F47" s="9" t="s">
        <v>340</v>
      </c>
      <c r="G47" s="8" t="s">
        <v>272</v>
      </c>
      <c r="H47" s="23" t="n">
        <v>46292</v>
      </c>
    </row>
    <row r="48" customFormat="false" ht="15" hidden="false" customHeight="false" outlineLevel="0" collapsed="false">
      <c r="A48" s="9" t="s">
        <v>16</v>
      </c>
      <c r="B48" s="9" t="s">
        <v>66</v>
      </c>
      <c r="C48" s="9" t="n">
        <v>5</v>
      </c>
      <c r="D48" s="9" t="s">
        <v>341</v>
      </c>
      <c r="E48" s="22" t="n">
        <v>32.95</v>
      </c>
      <c r="F48" s="9" t="s">
        <v>342</v>
      </c>
      <c r="G48" s="8" t="s">
        <v>272</v>
      </c>
      <c r="H48" s="23" t="n">
        <v>46292</v>
      </c>
    </row>
    <row r="49" customFormat="false" ht="15" hidden="false" customHeight="false" outlineLevel="0" collapsed="false">
      <c r="A49" s="9" t="s">
        <v>16</v>
      </c>
      <c r="B49" s="9" t="s">
        <v>66</v>
      </c>
      <c r="C49" s="9" t="n">
        <v>6</v>
      </c>
      <c r="D49" s="9" t="s">
        <v>343</v>
      </c>
      <c r="E49" s="22" t="n">
        <v>37.95</v>
      </c>
      <c r="F49" s="9" t="s">
        <v>344</v>
      </c>
      <c r="G49" s="8" t="s">
        <v>272</v>
      </c>
      <c r="H49" s="23" t="n">
        <v>46292</v>
      </c>
    </row>
    <row r="50" customFormat="false" ht="15" hidden="false" customHeight="false" outlineLevel="0" collapsed="false">
      <c r="A50" s="9" t="s">
        <v>16</v>
      </c>
      <c r="B50" s="9" t="s">
        <v>66</v>
      </c>
      <c r="C50" s="9" t="n">
        <v>7</v>
      </c>
      <c r="D50" s="9" t="s">
        <v>345</v>
      </c>
      <c r="E50" s="22" t="n">
        <v>39.95</v>
      </c>
      <c r="F50" s="9" t="s">
        <v>336</v>
      </c>
      <c r="G50" s="8" t="s">
        <v>272</v>
      </c>
      <c r="H50" s="23" t="n">
        <v>46292</v>
      </c>
    </row>
    <row r="51" customFormat="false" ht="15" hidden="false" customHeight="false" outlineLevel="0" collapsed="false">
      <c r="A51" s="9" t="s">
        <v>16</v>
      </c>
      <c r="B51" s="9" t="s">
        <v>66</v>
      </c>
      <c r="C51" s="9" t="n">
        <v>8</v>
      </c>
      <c r="D51" s="9" t="s">
        <v>346</v>
      </c>
      <c r="E51" s="22" t="n">
        <v>37.95</v>
      </c>
      <c r="F51" s="9" t="s">
        <v>347</v>
      </c>
      <c r="G51" s="8" t="s">
        <v>272</v>
      </c>
      <c r="H51" s="23" t="n">
        <v>46292</v>
      </c>
    </row>
    <row r="52" customFormat="false" ht="15" hidden="false" customHeight="false" outlineLevel="0" collapsed="false">
      <c r="A52" s="9" t="s">
        <v>16</v>
      </c>
      <c r="B52" s="9" t="s">
        <v>66</v>
      </c>
      <c r="C52" s="9" t="n">
        <v>9</v>
      </c>
      <c r="D52" s="9" t="s">
        <v>348</v>
      </c>
      <c r="E52" s="22" t="n">
        <v>37.95</v>
      </c>
      <c r="F52" s="9" t="s">
        <v>349</v>
      </c>
      <c r="G52" s="8" t="s">
        <v>272</v>
      </c>
      <c r="H52" s="23" t="n">
        <v>46292</v>
      </c>
    </row>
    <row r="53" customFormat="false" ht="15" hidden="false" customHeight="false" outlineLevel="0" collapsed="false">
      <c r="A53" s="9" t="s">
        <v>16</v>
      </c>
      <c r="B53" s="9" t="s">
        <v>66</v>
      </c>
      <c r="C53" s="9" t="n">
        <v>10</v>
      </c>
      <c r="D53" s="9" t="s">
        <v>350</v>
      </c>
      <c r="E53" s="22" t="n">
        <v>44.95</v>
      </c>
      <c r="F53" s="9" t="s">
        <v>351</v>
      </c>
      <c r="G53" s="8" t="s">
        <v>272</v>
      </c>
      <c r="H53" s="23" t="n">
        <v>46292</v>
      </c>
    </row>
    <row r="54" customFormat="false" ht="15" hidden="false" customHeight="false" outlineLevel="0" collapsed="false">
      <c r="A54" s="9" t="s">
        <v>16</v>
      </c>
      <c r="B54" s="9" t="s">
        <v>71</v>
      </c>
      <c r="C54" s="9" t="n">
        <v>1</v>
      </c>
      <c r="D54" s="9" t="s">
        <v>352</v>
      </c>
      <c r="E54" s="22" t="n">
        <v>59.95</v>
      </c>
      <c r="F54" s="9" t="s">
        <v>353</v>
      </c>
      <c r="G54" s="8" t="s">
        <v>272</v>
      </c>
      <c r="H54" s="23" t="n">
        <v>46292</v>
      </c>
    </row>
    <row r="55" customFormat="false" ht="15" hidden="false" customHeight="false" outlineLevel="0" collapsed="false">
      <c r="A55" s="9" t="s">
        <v>16</v>
      </c>
      <c r="B55" s="9" t="s">
        <v>71</v>
      </c>
      <c r="C55" s="9" t="n">
        <v>2</v>
      </c>
      <c r="D55" s="9" t="s">
        <v>354</v>
      </c>
      <c r="E55" s="22" t="n">
        <v>39.95</v>
      </c>
      <c r="F55" s="9" t="s">
        <v>355</v>
      </c>
      <c r="G55" s="8" t="s">
        <v>272</v>
      </c>
      <c r="H55" s="23" t="n">
        <v>46292</v>
      </c>
    </row>
    <row r="56" customFormat="false" ht="15" hidden="false" customHeight="false" outlineLevel="0" collapsed="false">
      <c r="A56" s="9" t="s">
        <v>16</v>
      </c>
      <c r="B56" s="9" t="s">
        <v>71</v>
      </c>
      <c r="C56" s="9" t="n">
        <v>3</v>
      </c>
      <c r="D56" s="9" t="s">
        <v>356</v>
      </c>
      <c r="E56" s="22" t="n">
        <v>54.95</v>
      </c>
      <c r="F56" s="9" t="s">
        <v>353</v>
      </c>
      <c r="G56" s="8" t="s">
        <v>272</v>
      </c>
      <c r="H56" s="23" t="n">
        <v>46292</v>
      </c>
    </row>
    <row r="57" customFormat="false" ht="15" hidden="false" customHeight="false" outlineLevel="0" collapsed="false">
      <c r="A57" s="9" t="s">
        <v>16</v>
      </c>
      <c r="B57" s="9" t="s">
        <v>71</v>
      </c>
      <c r="C57" s="9" t="n">
        <v>4</v>
      </c>
      <c r="D57" s="9" t="s">
        <v>357</v>
      </c>
      <c r="E57" s="22" t="n">
        <v>59.95</v>
      </c>
      <c r="F57" s="9" t="s">
        <v>353</v>
      </c>
      <c r="G57" s="8" t="s">
        <v>272</v>
      </c>
      <c r="H57" s="23" t="n">
        <v>46292</v>
      </c>
    </row>
    <row r="58" customFormat="false" ht="15" hidden="false" customHeight="false" outlineLevel="0" collapsed="false">
      <c r="A58" s="9" t="s">
        <v>16</v>
      </c>
      <c r="B58" s="9" t="s">
        <v>71</v>
      </c>
      <c r="C58" s="9" t="n">
        <v>5</v>
      </c>
      <c r="D58" s="9" t="s">
        <v>358</v>
      </c>
      <c r="E58" s="22" t="n">
        <v>59.95</v>
      </c>
      <c r="F58" s="9" t="s">
        <v>353</v>
      </c>
      <c r="G58" s="8" t="s">
        <v>272</v>
      </c>
      <c r="H58" s="23" t="n">
        <v>46292</v>
      </c>
    </row>
    <row r="59" customFormat="false" ht="15" hidden="false" customHeight="false" outlineLevel="0" collapsed="false">
      <c r="A59" s="9" t="s">
        <v>16</v>
      </c>
      <c r="B59" s="9" t="s">
        <v>71</v>
      </c>
      <c r="C59" s="9" t="n">
        <v>6</v>
      </c>
      <c r="D59" s="9" t="s">
        <v>359</v>
      </c>
      <c r="E59" s="22" t="n">
        <v>54.95</v>
      </c>
      <c r="F59" s="9" t="s">
        <v>353</v>
      </c>
      <c r="G59" s="8" t="s">
        <v>272</v>
      </c>
      <c r="H59" s="23" t="n">
        <v>46292</v>
      </c>
    </row>
    <row r="60" customFormat="false" ht="15" hidden="false" customHeight="false" outlineLevel="0" collapsed="false">
      <c r="A60" s="9" t="s">
        <v>16</v>
      </c>
      <c r="B60" s="9" t="s">
        <v>71</v>
      </c>
      <c r="C60" s="9" t="n">
        <v>7</v>
      </c>
      <c r="D60" s="9" t="s">
        <v>360</v>
      </c>
      <c r="E60" s="22" t="n">
        <v>54.95</v>
      </c>
      <c r="F60" s="9" t="s">
        <v>353</v>
      </c>
      <c r="G60" s="8" t="s">
        <v>272</v>
      </c>
      <c r="H60" s="23" t="n">
        <v>46292</v>
      </c>
    </row>
    <row r="61" customFormat="false" ht="15" hidden="false" customHeight="false" outlineLevel="0" collapsed="false">
      <c r="A61" s="9" t="s">
        <v>16</v>
      </c>
      <c r="B61" s="9" t="s">
        <v>71</v>
      </c>
      <c r="C61" s="9" t="n">
        <v>8</v>
      </c>
      <c r="D61" s="9" t="s">
        <v>361</v>
      </c>
      <c r="E61" s="22" t="n">
        <v>39.95</v>
      </c>
      <c r="F61" s="9" t="s">
        <v>362</v>
      </c>
      <c r="G61" s="8" t="s">
        <v>272</v>
      </c>
      <c r="H61" s="23" t="n">
        <v>46292</v>
      </c>
    </row>
    <row r="62" customFormat="false" ht="15" hidden="false" customHeight="false" outlineLevel="0" collapsed="false">
      <c r="A62" s="9" t="s">
        <v>16</v>
      </c>
      <c r="B62" s="9" t="s">
        <v>71</v>
      </c>
      <c r="C62" s="9" t="n">
        <v>9</v>
      </c>
      <c r="D62" s="9" t="s">
        <v>363</v>
      </c>
      <c r="E62" s="22" t="n">
        <v>54.95</v>
      </c>
      <c r="F62" s="9" t="s">
        <v>353</v>
      </c>
      <c r="G62" s="8" t="s">
        <v>272</v>
      </c>
      <c r="H62" s="23" t="n">
        <v>46292</v>
      </c>
    </row>
    <row r="63" customFormat="false" ht="15" hidden="false" customHeight="false" outlineLevel="0" collapsed="false">
      <c r="A63" s="9" t="s">
        <v>16</v>
      </c>
      <c r="B63" s="9" t="s">
        <v>71</v>
      </c>
      <c r="C63" s="9" t="n">
        <v>10</v>
      </c>
      <c r="D63" s="9" t="s">
        <v>364</v>
      </c>
      <c r="E63" s="22" t="n">
        <v>54.95</v>
      </c>
      <c r="F63" s="9" t="s">
        <v>353</v>
      </c>
      <c r="G63" s="8" t="s">
        <v>272</v>
      </c>
      <c r="H63" s="23" t="n">
        <v>46292</v>
      </c>
    </row>
    <row r="64" customFormat="false" ht="15" hidden="false" customHeight="false" outlineLevel="0" collapsed="false">
      <c r="A64" s="9" t="s">
        <v>16</v>
      </c>
      <c r="B64" s="9" t="s">
        <v>81</v>
      </c>
      <c r="C64" s="9" t="n">
        <v>1</v>
      </c>
      <c r="D64" s="9" t="s">
        <v>365</v>
      </c>
      <c r="E64" s="22" t="n">
        <v>80.95</v>
      </c>
      <c r="F64" s="9" t="s">
        <v>366</v>
      </c>
      <c r="G64" s="8" t="s">
        <v>272</v>
      </c>
      <c r="H64" s="23" t="n">
        <v>46292</v>
      </c>
    </row>
    <row r="65" customFormat="false" ht="15" hidden="false" customHeight="false" outlineLevel="0" collapsed="false">
      <c r="A65" s="9" t="s">
        <v>16</v>
      </c>
      <c r="B65" s="9" t="s">
        <v>81</v>
      </c>
      <c r="C65" s="9" t="n">
        <v>2</v>
      </c>
      <c r="D65" s="9" t="s">
        <v>367</v>
      </c>
      <c r="E65" s="22" t="n">
        <v>44.95</v>
      </c>
      <c r="F65" s="9" t="s">
        <v>366</v>
      </c>
      <c r="G65" s="8" t="s">
        <v>272</v>
      </c>
      <c r="H65" s="23" t="n">
        <v>46292</v>
      </c>
    </row>
    <row r="66" customFormat="false" ht="15" hidden="false" customHeight="false" outlineLevel="0" collapsed="false">
      <c r="A66" s="9" t="s">
        <v>16</v>
      </c>
      <c r="B66" s="9" t="s">
        <v>81</v>
      </c>
      <c r="C66" s="9" t="n">
        <v>3</v>
      </c>
      <c r="D66" s="9" t="s">
        <v>368</v>
      </c>
      <c r="E66" s="22" t="n">
        <v>86.95</v>
      </c>
      <c r="F66" s="9" t="s">
        <v>369</v>
      </c>
      <c r="G66" s="8" t="s">
        <v>272</v>
      </c>
      <c r="H66" s="23" t="n">
        <v>46292</v>
      </c>
    </row>
    <row r="67" customFormat="false" ht="15" hidden="false" customHeight="false" outlineLevel="0" collapsed="false">
      <c r="A67" s="9" t="s">
        <v>16</v>
      </c>
      <c r="B67" s="9" t="s">
        <v>81</v>
      </c>
      <c r="C67" s="9" t="n">
        <v>4</v>
      </c>
      <c r="D67" s="9" t="s">
        <v>370</v>
      </c>
      <c r="E67" s="22" t="n">
        <v>58.95</v>
      </c>
      <c r="F67" s="9" t="s">
        <v>366</v>
      </c>
      <c r="G67" s="8" t="s">
        <v>272</v>
      </c>
      <c r="H67" s="23" t="n">
        <v>46292</v>
      </c>
    </row>
    <row r="68" customFormat="false" ht="15" hidden="false" customHeight="false" outlineLevel="0" collapsed="false">
      <c r="A68" s="9" t="s">
        <v>16</v>
      </c>
      <c r="B68" s="9" t="s">
        <v>81</v>
      </c>
      <c r="C68" s="9" t="n">
        <v>5</v>
      </c>
      <c r="D68" s="9" t="s">
        <v>371</v>
      </c>
      <c r="E68" s="22" t="n">
        <v>36.95</v>
      </c>
      <c r="F68" s="9" t="s">
        <v>366</v>
      </c>
      <c r="G68" s="8" t="s">
        <v>272</v>
      </c>
      <c r="H68" s="23" t="n">
        <v>46292</v>
      </c>
    </row>
    <row r="69" customFormat="false" ht="15" hidden="false" customHeight="false" outlineLevel="0" collapsed="false">
      <c r="A69" s="9" t="s">
        <v>16</v>
      </c>
      <c r="B69" s="9" t="s">
        <v>81</v>
      </c>
      <c r="C69" s="9" t="n">
        <v>6</v>
      </c>
      <c r="D69" s="9" t="s">
        <v>372</v>
      </c>
      <c r="E69" s="22" t="n">
        <v>56.95</v>
      </c>
      <c r="F69" s="9" t="s">
        <v>366</v>
      </c>
      <c r="G69" s="8" t="s">
        <v>272</v>
      </c>
      <c r="H69" s="23" t="n">
        <v>46292</v>
      </c>
    </row>
    <row r="70" customFormat="false" ht="15" hidden="false" customHeight="false" outlineLevel="0" collapsed="false">
      <c r="A70" s="9" t="s">
        <v>16</v>
      </c>
      <c r="B70" s="9" t="s">
        <v>81</v>
      </c>
      <c r="C70" s="9" t="n">
        <v>7</v>
      </c>
      <c r="D70" s="9" t="s">
        <v>373</v>
      </c>
      <c r="E70" s="22" t="n">
        <v>85.95</v>
      </c>
      <c r="F70" s="9" t="s">
        <v>374</v>
      </c>
      <c r="G70" s="8" t="s">
        <v>272</v>
      </c>
      <c r="H70" s="23" t="n">
        <v>46292</v>
      </c>
    </row>
    <row r="71" customFormat="false" ht="15" hidden="false" customHeight="false" outlineLevel="0" collapsed="false">
      <c r="A71" s="9" t="s">
        <v>16</v>
      </c>
      <c r="B71" s="9" t="s">
        <v>81</v>
      </c>
      <c r="C71" s="9" t="n">
        <v>8</v>
      </c>
      <c r="D71" s="9" t="s">
        <v>375</v>
      </c>
      <c r="E71" s="22" t="n">
        <v>90.95</v>
      </c>
      <c r="F71" s="9" t="s">
        <v>376</v>
      </c>
      <c r="G71" s="8" t="s">
        <v>272</v>
      </c>
      <c r="H71" s="23" t="n">
        <v>46292</v>
      </c>
    </row>
    <row r="72" customFormat="false" ht="15" hidden="false" customHeight="false" outlineLevel="0" collapsed="false">
      <c r="A72" s="9" t="s">
        <v>16</v>
      </c>
      <c r="B72" s="9" t="s">
        <v>81</v>
      </c>
      <c r="C72" s="9" t="n">
        <v>9</v>
      </c>
      <c r="D72" s="9" t="s">
        <v>377</v>
      </c>
      <c r="E72" s="22" t="n">
        <v>69.95</v>
      </c>
      <c r="F72" s="9" t="s">
        <v>378</v>
      </c>
      <c r="G72" s="8" t="s">
        <v>272</v>
      </c>
      <c r="H72" s="23" t="n">
        <v>46292</v>
      </c>
    </row>
    <row r="73" customFormat="false" ht="15" hidden="false" customHeight="false" outlineLevel="0" collapsed="false">
      <c r="A73" s="9" t="s">
        <v>16</v>
      </c>
      <c r="B73" s="9" t="s">
        <v>81</v>
      </c>
      <c r="C73" s="9" t="n">
        <v>10</v>
      </c>
      <c r="D73" s="9" t="s">
        <v>379</v>
      </c>
      <c r="E73" s="22" t="n">
        <v>64.95</v>
      </c>
      <c r="F73" s="9" t="s">
        <v>366</v>
      </c>
      <c r="G73" s="8" t="s">
        <v>272</v>
      </c>
      <c r="H73" s="23" t="n">
        <v>46292</v>
      </c>
    </row>
    <row r="74" customFormat="false" ht="15" hidden="false" customHeight="false" outlineLevel="0" collapsed="false">
      <c r="A74" s="9" t="s">
        <v>16</v>
      </c>
      <c r="B74" s="9" t="s">
        <v>91</v>
      </c>
      <c r="C74" s="9" t="n">
        <v>1</v>
      </c>
      <c r="D74" s="9" t="s">
        <v>380</v>
      </c>
      <c r="E74" s="22" t="n">
        <v>39.95</v>
      </c>
      <c r="F74" s="9" t="s">
        <v>381</v>
      </c>
      <c r="G74" s="8" t="s">
        <v>272</v>
      </c>
      <c r="H74" s="23" t="n">
        <v>46292</v>
      </c>
    </row>
    <row r="75" customFormat="false" ht="15" hidden="false" customHeight="false" outlineLevel="0" collapsed="false">
      <c r="A75" s="9" t="s">
        <v>16</v>
      </c>
      <c r="B75" s="9" t="s">
        <v>91</v>
      </c>
      <c r="C75" s="9" t="n">
        <v>2</v>
      </c>
      <c r="D75" s="9" t="s">
        <v>382</v>
      </c>
      <c r="E75" s="22" t="n">
        <v>54.95</v>
      </c>
      <c r="F75" s="9" t="s">
        <v>383</v>
      </c>
      <c r="G75" s="8" t="s">
        <v>272</v>
      </c>
      <c r="H75" s="23" t="n">
        <v>46292</v>
      </c>
    </row>
    <row r="76" customFormat="false" ht="15" hidden="false" customHeight="false" outlineLevel="0" collapsed="false">
      <c r="A76" s="9" t="s">
        <v>16</v>
      </c>
      <c r="B76" s="9" t="s">
        <v>91</v>
      </c>
      <c r="C76" s="9" t="n">
        <v>3</v>
      </c>
      <c r="D76" s="9" t="s">
        <v>384</v>
      </c>
      <c r="E76" s="22" t="n">
        <v>39.95</v>
      </c>
      <c r="F76" s="9" t="s">
        <v>385</v>
      </c>
      <c r="G76" s="8" t="s">
        <v>272</v>
      </c>
      <c r="H76" s="23" t="n">
        <v>46292</v>
      </c>
    </row>
    <row r="77" customFormat="false" ht="15" hidden="false" customHeight="false" outlineLevel="0" collapsed="false">
      <c r="A77" s="9" t="s">
        <v>16</v>
      </c>
      <c r="B77" s="9" t="s">
        <v>91</v>
      </c>
      <c r="C77" s="9" t="n">
        <v>4</v>
      </c>
      <c r="D77" s="9" t="s">
        <v>386</v>
      </c>
      <c r="E77" s="22" t="n">
        <v>39.95</v>
      </c>
      <c r="F77" s="9" t="s">
        <v>387</v>
      </c>
      <c r="G77" s="8" t="s">
        <v>272</v>
      </c>
      <c r="H77" s="23" t="n">
        <v>46292</v>
      </c>
    </row>
    <row r="78" customFormat="false" ht="15" hidden="false" customHeight="false" outlineLevel="0" collapsed="false">
      <c r="A78" s="9" t="s">
        <v>16</v>
      </c>
      <c r="B78" s="9" t="s">
        <v>91</v>
      </c>
      <c r="C78" s="9" t="n">
        <v>5</v>
      </c>
      <c r="D78" s="9" t="s">
        <v>388</v>
      </c>
      <c r="E78" s="22" t="n">
        <v>54.95</v>
      </c>
      <c r="F78" s="9" t="s">
        <v>389</v>
      </c>
      <c r="G78" s="8" t="s">
        <v>272</v>
      </c>
      <c r="H78" s="23" t="n">
        <v>46292</v>
      </c>
    </row>
    <row r="79" customFormat="false" ht="15" hidden="false" customHeight="false" outlineLevel="0" collapsed="false">
      <c r="A79" s="9" t="s">
        <v>16</v>
      </c>
      <c r="B79" s="9" t="s">
        <v>91</v>
      </c>
      <c r="C79" s="9" t="n">
        <v>6</v>
      </c>
      <c r="D79" s="9" t="s">
        <v>390</v>
      </c>
      <c r="E79" s="22" t="n">
        <v>54.95</v>
      </c>
      <c r="F79" s="9" t="s">
        <v>391</v>
      </c>
      <c r="G79" s="8" t="s">
        <v>272</v>
      </c>
      <c r="H79" s="23" t="n">
        <v>46292</v>
      </c>
    </row>
    <row r="80" customFormat="false" ht="15" hidden="false" customHeight="false" outlineLevel="0" collapsed="false">
      <c r="A80" s="9" t="s">
        <v>16</v>
      </c>
      <c r="B80" s="9" t="s">
        <v>91</v>
      </c>
      <c r="C80" s="9" t="n">
        <v>7</v>
      </c>
      <c r="D80" s="9" t="s">
        <v>392</v>
      </c>
      <c r="E80" s="22" t="n">
        <v>39.95</v>
      </c>
      <c r="F80" s="9" t="s">
        <v>393</v>
      </c>
      <c r="G80" s="8" t="s">
        <v>272</v>
      </c>
      <c r="H80" s="23" t="n">
        <v>46292</v>
      </c>
    </row>
    <row r="81" customFormat="false" ht="15" hidden="false" customHeight="false" outlineLevel="0" collapsed="false">
      <c r="A81" s="9" t="s">
        <v>16</v>
      </c>
      <c r="B81" s="9" t="s">
        <v>91</v>
      </c>
      <c r="C81" s="9" t="n">
        <v>8</v>
      </c>
      <c r="D81" s="9" t="s">
        <v>394</v>
      </c>
      <c r="E81" s="22" t="n">
        <v>54.95</v>
      </c>
      <c r="F81" s="9" t="s">
        <v>395</v>
      </c>
      <c r="G81" s="8" t="s">
        <v>272</v>
      </c>
      <c r="H81" s="23" t="n">
        <v>46292</v>
      </c>
    </row>
    <row r="82" customFormat="false" ht="15" hidden="false" customHeight="false" outlineLevel="0" collapsed="false">
      <c r="A82" s="9" t="s">
        <v>16</v>
      </c>
      <c r="B82" s="9" t="s">
        <v>91</v>
      </c>
      <c r="C82" s="9" t="n">
        <v>9</v>
      </c>
      <c r="D82" s="9" t="s">
        <v>396</v>
      </c>
      <c r="E82" s="22" t="n">
        <v>39.95</v>
      </c>
      <c r="F82" s="9" t="s">
        <v>397</v>
      </c>
      <c r="G82" s="8" t="s">
        <v>272</v>
      </c>
      <c r="H82" s="23" t="n">
        <v>46292</v>
      </c>
    </row>
    <row r="83" customFormat="false" ht="15" hidden="false" customHeight="false" outlineLevel="0" collapsed="false">
      <c r="A83" s="9" t="s">
        <v>16</v>
      </c>
      <c r="B83" s="9" t="s">
        <v>91</v>
      </c>
      <c r="C83" s="9" t="n">
        <v>10</v>
      </c>
      <c r="D83" s="9" t="s">
        <v>398</v>
      </c>
      <c r="E83" s="22" t="n">
        <v>44.95</v>
      </c>
      <c r="F83" s="9" t="s">
        <v>399</v>
      </c>
      <c r="G83" s="8" t="s">
        <v>272</v>
      </c>
      <c r="H83" s="23" t="n">
        <v>46292</v>
      </c>
    </row>
    <row r="84" customFormat="false" ht="15" hidden="false" customHeight="false" outlineLevel="0" collapsed="false">
      <c r="A84" s="9" t="s">
        <v>16</v>
      </c>
      <c r="B84" s="9" t="s">
        <v>86</v>
      </c>
      <c r="C84" s="9" t="n">
        <v>1</v>
      </c>
      <c r="D84" s="9" t="s">
        <v>400</v>
      </c>
      <c r="E84" s="22" t="n">
        <v>2.95</v>
      </c>
      <c r="F84" s="9" t="s">
        <v>401</v>
      </c>
      <c r="G84" s="8" t="s">
        <v>272</v>
      </c>
      <c r="H84" s="23" t="n">
        <v>46292</v>
      </c>
    </row>
    <row r="85" customFormat="false" ht="15" hidden="false" customHeight="false" outlineLevel="0" collapsed="false">
      <c r="A85" s="9" t="s">
        <v>16</v>
      </c>
      <c r="B85" s="9" t="s">
        <v>86</v>
      </c>
      <c r="C85" s="9" t="n">
        <v>2</v>
      </c>
      <c r="D85" s="9" t="s">
        <v>402</v>
      </c>
      <c r="E85" s="22" t="n">
        <v>49.95</v>
      </c>
      <c r="F85" s="9" t="s">
        <v>403</v>
      </c>
      <c r="G85" s="8" t="s">
        <v>272</v>
      </c>
      <c r="H85" s="23" t="n">
        <v>46292</v>
      </c>
    </row>
    <row r="86" customFormat="false" ht="15" hidden="false" customHeight="false" outlineLevel="0" collapsed="false">
      <c r="A86" s="9" t="s">
        <v>16</v>
      </c>
      <c r="B86" s="9" t="s">
        <v>86</v>
      </c>
      <c r="C86" s="9" t="n">
        <v>3</v>
      </c>
      <c r="D86" s="9" t="s">
        <v>404</v>
      </c>
      <c r="E86" s="22" t="n">
        <v>54.95</v>
      </c>
      <c r="F86" s="9" t="s">
        <v>403</v>
      </c>
      <c r="G86" s="8" t="s">
        <v>272</v>
      </c>
      <c r="H86" s="23" t="n">
        <v>46292</v>
      </c>
    </row>
    <row r="87" customFormat="false" ht="15" hidden="false" customHeight="false" outlineLevel="0" collapsed="false">
      <c r="A87" s="9" t="s">
        <v>16</v>
      </c>
      <c r="B87" s="9" t="s">
        <v>86</v>
      </c>
      <c r="C87" s="9" t="n">
        <v>4</v>
      </c>
      <c r="D87" s="9" t="s">
        <v>405</v>
      </c>
      <c r="E87" s="22" t="n">
        <v>44.95</v>
      </c>
      <c r="F87" s="9" t="s">
        <v>406</v>
      </c>
      <c r="G87" s="8" t="s">
        <v>272</v>
      </c>
      <c r="H87" s="23" t="n">
        <v>46292</v>
      </c>
    </row>
    <row r="88" customFormat="false" ht="15" hidden="false" customHeight="false" outlineLevel="0" collapsed="false">
      <c r="A88" s="9" t="s">
        <v>16</v>
      </c>
      <c r="B88" s="9" t="s">
        <v>86</v>
      </c>
      <c r="C88" s="9" t="n">
        <v>5</v>
      </c>
      <c r="D88" s="9" t="s">
        <v>407</v>
      </c>
      <c r="E88" s="22" t="n">
        <v>35.95</v>
      </c>
      <c r="F88" s="9" t="s">
        <v>408</v>
      </c>
      <c r="G88" s="8" t="s">
        <v>272</v>
      </c>
      <c r="H88" s="23" t="n">
        <v>46292</v>
      </c>
    </row>
    <row r="89" customFormat="false" ht="15" hidden="false" customHeight="false" outlineLevel="0" collapsed="false">
      <c r="A89" s="9" t="s">
        <v>16</v>
      </c>
      <c r="B89" s="9" t="s">
        <v>86</v>
      </c>
      <c r="C89" s="9" t="n">
        <v>6</v>
      </c>
      <c r="D89" s="9" t="s">
        <v>409</v>
      </c>
      <c r="E89" s="22" t="n">
        <v>49.95</v>
      </c>
      <c r="F89" s="9" t="s">
        <v>410</v>
      </c>
      <c r="G89" s="8" t="s">
        <v>272</v>
      </c>
      <c r="H89" s="23" t="n">
        <v>46292</v>
      </c>
    </row>
    <row r="90" customFormat="false" ht="15" hidden="false" customHeight="false" outlineLevel="0" collapsed="false">
      <c r="A90" s="9" t="s">
        <v>16</v>
      </c>
      <c r="B90" s="9" t="s">
        <v>86</v>
      </c>
      <c r="C90" s="9" t="n">
        <v>7</v>
      </c>
      <c r="D90" s="9" t="s">
        <v>411</v>
      </c>
      <c r="E90" s="22" t="n">
        <v>54.95</v>
      </c>
      <c r="F90" s="9" t="s">
        <v>412</v>
      </c>
      <c r="G90" s="8" t="s">
        <v>272</v>
      </c>
      <c r="H90" s="23" t="n">
        <v>46292</v>
      </c>
    </row>
    <row r="91" customFormat="false" ht="15" hidden="false" customHeight="false" outlineLevel="0" collapsed="false">
      <c r="A91" s="9" t="s">
        <v>16</v>
      </c>
      <c r="B91" s="9" t="s">
        <v>86</v>
      </c>
      <c r="C91" s="9" t="n">
        <v>8</v>
      </c>
      <c r="D91" s="9" t="s">
        <v>413</v>
      </c>
      <c r="E91" s="22" t="n">
        <v>84.95</v>
      </c>
      <c r="F91" s="9" t="s">
        <v>410</v>
      </c>
      <c r="G91" s="8" t="s">
        <v>272</v>
      </c>
      <c r="H91" s="23" t="n">
        <v>46292</v>
      </c>
    </row>
    <row r="92" customFormat="false" ht="15" hidden="false" customHeight="false" outlineLevel="0" collapsed="false">
      <c r="A92" s="9" t="s">
        <v>16</v>
      </c>
      <c r="B92" s="9" t="s">
        <v>86</v>
      </c>
      <c r="C92" s="9" t="n">
        <v>9</v>
      </c>
      <c r="D92" s="9" t="s">
        <v>414</v>
      </c>
      <c r="E92" s="22" t="n">
        <v>54.95</v>
      </c>
      <c r="F92" s="9" t="s">
        <v>415</v>
      </c>
      <c r="G92" s="8" t="s">
        <v>272</v>
      </c>
      <c r="H92" s="23" t="n">
        <v>46292</v>
      </c>
    </row>
    <row r="93" customFormat="false" ht="15" hidden="false" customHeight="false" outlineLevel="0" collapsed="false">
      <c r="A93" s="9" t="s">
        <v>16</v>
      </c>
      <c r="B93" s="9" t="s">
        <v>86</v>
      </c>
      <c r="C93" s="9" t="n">
        <v>10</v>
      </c>
      <c r="D93" s="9" t="s">
        <v>416</v>
      </c>
      <c r="E93" s="22" t="n">
        <v>49.95</v>
      </c>
      <c r="F93" s="9" t="s">
        <v>417</v>
      </c>
      <c r="G93" s="8" t="s">
        <v>272</v>
      </c>
      <c r="H93" s="23" t="n">
        <v>46292</v>
      </c>
    </row>
    <row r="94" customFormat="false" ht="15" hidden="false" customHeight="false" outlineLevel="0" collapsed="false">
      <c r="A94" s="9" t="s">
        <v>16</v>
      </c>
      <c r="B94" s="9" t="s">
        <v>76</v>
      </c>
      <c r="C94" s="9" t="n">
        <v>1</v>
      </c>
      <c r="D94" s="9" t="s">
        <v>418</v>
      </c>
      <c r="E94" s="22" t="n">
        <v>119.95</v>
      </c>
      <c r="F94" s="9" t="s">
        <v>418</v>
      </c>
      <c r="G94" s="8" t="s">
        <v>272</v>
      </c>
      <c r="H94" s="23" t="n">
        <v>46292</v>
      </c>
    </row>
    <row r="95" customFormat="false" ht="15" hidden="false" customHeight="false" outlineLevel="0" collapsed="false">
      <c r="A95" s="9" t="s">
        <v>16</v>
      </c>
      <c r="B95" s="9" t="s">
        <v>76</v>
      </c>
      <c r="C95" s="9" t="n">
        <v>2</v>
      </c>
      <c r="D95" s="9" t="s">
        <v>419</v>
      </c>
      <c r="E95" s="22" t="n">
        <v>59.95</v>
      </c>
      <c r="F95" s="9" t="s">
        <v>419</v>
      </c>
      <c r="G95" s="8" t="s">
        <v>272</v>
      </c>
      <c r="H95" s="23" t="n">
        <v>46292</v>
      </c>
    </row>
    <row r="96" customFormat="false" ht="15" hidden="false" customHeight="false" outlineLevel="0" collapsed="false">
      <c r="A96" s="9" t="s">
        <v>16</v>
      </c>
      <c r="B96" s="9" t="s">
        <v>76</v>
      </c>
      <c r="C96" s="9" t="n">
        <v>3</v>
      </c>
      <c r="D96" s="9" t="s">
        <v>420</v>
      </c>
      <c r="E96" s="22" t="n">
        <v>37.95</v>
      </c>
      <c r="F96" s="9" t="s">
        <v>420</v>
      </c>
      <c r="G96" s="8" t="s">
        <v>272</v>
      </c>
      <c r="H96" s="23" t="n">
        <v>46292</v>
      </c>
    </row>
    <row r="97" customFormat="false" ht="15" hidden="false" customHeight="false" outlineLevel="0" collapsed="false">
      <c r="A97" s="9" t="s">
        <v>16</v>
      </c>
      <c r="B97" s="9" t="s">
        <v>76</v>
      </c>
      <c r="C97" s="9" t="n">
        <v>4</v>
      </c>
      <c r="D97" s="9" t="s">
        <v>421</v>
      </c>
      <c r="E97" s="22" t="n">
        <v>149.95</v>
      </c>
      <c r="F97" s="9" t="s">
        <v>421</v>
      </c>
      <c r="G97" s="8" t="s">
        <v>272</v>
      </c>
      <c r="H97" s="23" t="n">
        <v>46292</v>
      </c>
    </row>
    <row r="98" customFormat="false" ht="15" hidden="false" customHeight="false" outlineLevel="0" collapsed="false">
      <c r="A98" s="9" t="s">
        <v>16</v>
      </c>
      <c r="B98" s="9" t="s">
        <v>76</v>
      </c>
      <c r="C98" s="9" t="n">
        <v>5</v>
      </c>
      <c r="D98" s="9" t="s">
        <v>418</v>
      </c>
      <c r="E98" s="22" t="n">
        <v>119.95</v>
      </c>
      <c r="F98" s="9" t="s">
        <v>418</v>
      </c>
      <c r="G98" s="8" t="s">
        <v>272</v>
      </c>
      <c r="H98" s="23" t="n">
        <v>46292</v>
      </c>
    </row>
    <row r="99" customFormat="false" ht="15" hidden="false" customHeight="false" outlineLevel="0" collapsed="false">
      <c r="A99" s="9" t="s">
        <v>16</v>
      </c>
      <c r="B99" s="9" t="s">
        <v>76</v>
      </c>
      <c r="C99" s="9" t="n">
        <v>6</v>
      </c>
      <c r="D99" s="9" t="s">
        <v>422</v>
      </c>
      <c r="E99" s="22" t="n">
        <v>34.95</v>
      </c>
      <c r="F99" s="9" t="s">
        <v>422</v>
      </c>
      <c r="G99" s="8" t="s">
        <v>272</v>
      </c>
      <c r="H99" s="23" t="n">
        <v>46292</v>
      </c>
    </row>
    <row r="100" customFormat="false" ht="15" hidden="false" customHeight="false" outlineLevel="0" collapsed="false">
      <c r="A100" s="9" t="s">
        <v>16</v>
      </c>
      <c r="B100" s="9" t="s">
        <v>76</v>
      </c>
      <c r="C100" s="9" t="n">
        <v>7</v>
      </c>
      <c r="D100" s="9" t="s">
        <v>423</v>
      </c>
      <c r="E100" s="22" t="n">
        <v>37.95</v>
      </c>
      <c r="F100" s="9" t="s">
        <v>423</v>
      </c>
      <c r="G100" s="8" t="s">
        <v>272</v>
      </c>
      <c r="H100" s="23" t="n">
        <v>46292</v>
      </c>
    </row>
    <row r="101" customFormat="false" ht="15" hidden="false" customHeight="false" outlineLevel="0" collapsed="false">
      <c r="A101" s="9" t="s">
        <v>16</v>
      </c>
      <c r="B101" s="9" t="s">
        <v>76</v>
      </c>
      <c r="C101" s="9" t="n">
        <v>8</v>
      </c>
      <c r="D101" s="9" t="s">
        <v>424</v>
      </c>
      <c r="E101" s="22" t="n">
        <v>39.95</v>
      </c>
      <c r="F101" s="9" t="s">
        <v>424</v>
      </c>
      <c r="G101" s="8" t="s">
        <v>272</v>
      </c>
      <c r="H101" s="23" t="n">
        <v>46292</v>
      </c>
    </row>
    <row r="102" customFormat="false" ht="15" hidden="false" customHeight="false" outlineLevel="0" collapsed="false">
      <c r="A102" s="9" t="s">
        <v>16</v>
      </c>
      <c r="B102" s="9" t="s">
        <v>76</v>
      </c>
      <c r="C102" s="9" t="n">
        <v>9</v>
      </c>
      <c r="D102" s="9" t="s">
        <v>425</v>
      </c>
      <c r="E102" s="22" t="n">
        <v>34.95</v>
      </c>
      <c r="F102" s="9" t="s">
        <v>425</v>
      </c>
      <c r="G102" s="8" t="s">
        <v>272</v>
      </c>
      <c r="H102" s="23" t="n">
        <v>46292</v>
      </c>
    </row>
    <row r="103" customFormat="false" ht="15" hidden="false" customHeight="false" outlineLevel="0" collapsed="false">
      <c r="A103" s="9" t="s">
        <v>16</v>
      </c>
      <c r="B103" s="9" t="s">
        <v>76</v>
      </c>
      <c r="C103" s="9" t="n">
        <v>10</v>
      </c>
      <c r="D103" s="9" t="s">
        <v>426</v>
      </c>
      <c r="E103" s="22" t="n">
        <v>79.95</v>
      </c>
      <c r="F103" s="9" t="s">
        <v>426</v>
      </c>
      <c r="G103" s="8" t="s">
        <v>272</v>
      </c>
      <c r="H103" s="23" t="n">
        <v>46292</v>
      </c>
    </row>
    <row r="104" customFormat="false" ht="15" hidden="false" customHeight="false" outlineLevel="0" collapsed="false">
      <c r="A104" s="9" t="s">
        <v>18</v>
      </c>
      <c r="B104" s="9" t="s">
        <v>185</v>
      </c>
      <c r="C104" s="9" t="n">
        <v>1</v>
      </c>
      <c r="D104" s="9" t="s">
        <v>427</v>
      </c>
      <c r="E104" s="22" t="n">
        <v>34.95</v>
      </c>
      <c r="F104" s="9" t="s">
        <v>428</v>
      </c>
      <c r="G104" s="8" t="s">
        <v>272</v>
      </c>
      <c r="H104" s="23" t="n">
        <v>46292</v>
      </c>
    </row>
    <row r="105" customFormat="false" ht="15" hidden="false" customHeight="false" outlineLevel="0" collapsed="false">
      <c r="A105" s="9" t="s">
        <v>18</v>
      </c>
      <c r="B105" s="9" t="s">
        <v>185</v>
      </c>
      <c r="C105" s="9" t="n">
        <v>2</v>
      </c>
      <c r="D105" s="9" t="s">
        <v>429</v>
      </c>
      <c r="E105" s="22" t="n">
        <v>34.95</v>
      </c>
      <c r="F105" s="9" t="s">
        <v>349</v>
      </c>
      <c r="G105" s="8" t="s">
        <v>272</v>
      </c>
      <c r="H105" s="23" t="n">
        <v>46292</v>
      </c>
    </row>
    <row r="106" customFormat="false" ht="15" hidden="false" customHeight="false" outlineLevel="0" collapsed="false">
      <c r="A106" s="9" t="s">
        <v>18</v>
      </c>
      <c r="B106" s="9" t="s">
        <v>185</v>
      </c>
      <c r="C106" s="9" t="n">
        <v>3</v>
      </c>
      <c r="D106" s="9" t="s">
        <v>430</v>
      </c>
      <c r="E106" s="22" t="n">
        <v>39.95</v>
      </c>
      <c r="F106" s="9" t="s">
        <v>431</v>
      </c>
      <c r="G106" s="8" t="s">
        <v>272</v>
      </c>
      <c r="H106" s="23" t="n">
        <v>46292</v>
      </c>
    </row>
    <row r="107" customFormat="false" ht="15" hidden="false" customHeight="false" outlineLevel="0" collapsed="false">
      <c r="A107" s="9" t="s">
        <v>18</v>
      </c>
      <c r="B107" s="9" t="s">
        <v>185</v>
      </c>
      <c r="C107" s="9" t="n">
        <v>4</v>
      </c>
      <c r="D107" s="9" t="s">
        <v>432</v>
      </c>
      <c r="E107" s="22" t="n">
        <v>29.95</v>
      </c>
      <c r="F107" s="9" t="s">
        <v>433</v>
      </c>
      <c r="G107" s="8" t="s">
        <v>272</v>
      </c>
      <c r="H107" s="23" t="n">
        <v>46292</v>
      </c>
    </row>
    <row r="108" customFormat="false" ht="15" hidden="false" customHeight="false" outlineLevel="0" collapsed="false">
      <c r="A108" s="9" t="s">
        <v>18</v>
      </c>
      <c r="B108" s="9" t="s">
        <v>185</v>
      </c>
      <c r="C108" s="9" t="n">
        <v>5</v>
      </c>
      <c r="D108" s="9" t="s">
        <v>434</v>
      </c>
      <c r="E108" s="22" t="n">
        <v>39.95</v>
      </c>
      <c r="F108" s="9" t="s">
        <v>431</v>
      </c>
      <c r="G108" s="8" t="s">
        <v>272</v>
      </c>
      <c r="H108" s="23" t="n">
        <v>46292</v>
      </c>
    </row>
    <row r="109" customFormat="false" ht="15" hidden="false" customHeight="false" outlineLevel="0" collapsed="false">
      <c r="A109" s="9" t="s">
        <v>18</v>
      </c>
      <c r="B109" s="9" t="s">
        <v>185</v>
      </c>
      <c r="C109" s="9" t="n">
        <v>6</v>
      </c>
      <c r="D109" s="9" t="s">
        <v>435</v>
      </c>
      <c r="E109" s="22" t="n">
        <v>39.95</v>
      </c>
      <c r="F109" s="9" t="s">
        <v>433</v>
      </c>
      <c r="G109" s="8" t="s">
        <v>272</v>
      </c>
      <c r="H109" s="23" t="n">
        <v>46292</v>
      </c>
    </row>
    <row r="110" customFormat="false" ht="15" hidden="false" customHeight="false" outlineLevel="0" collapsed="false">
      <c r="A110" s="9" t="s">
        <v>18</v>
      </c>
      <c r="B110" s="9" t="s">
        <v>185</v>
      </c>
      <c r="C110" s="9" t="n">
        <v>7</v>
      </c>
      <c r="D110" s="9" t="s">
        <v>436</v>
      </c>
      <c r="E110" s="22" t="n">
        <v>44.95</v>
      </c>
      <c r="F110" s="9" t="s">
        <v>431</v>
      </c>
      <c r="G110" s="8" t="s">
        <v>272</v>
      </c>
      <c r="H110" s="23" t="n">
        <v>46292</v>
      </c>
    </row>
    <row r="111" customFormat="false" ht="15" hidden="false" customHeight="false" outlineLevel="0" collapsed="false">
      <c r="A111" s="9" t="s">
        <v>18</v>
      </c>
      <c r="B111" s="9" t="s">
        <v>185</v>
      </c>
      <c r="C111" s="9" t="n">
        <v>8</v>
      </c>
      <c r="D111" s="9" t="s">
        <v>437</v>
      </c>
      <c r="E111" s="22" t="n">
        <v>54.95</v>
      </c>
      <c r="F111" s="9" t="s">
        <v>438</v>
      </c>
      <c r="G111" s="8" t="s">
        <v>272</v>
      </c>
      <c r="H111" s="23" t="n">
        <v>46292</v>
      </c>
    </row>
    <row r="112" customFormat="false" ht="15" hidden="false" customHeight="false" outlineLevel="0" collapsed="false">
      <c r="A112" s="9" t="s">
        <v>18</v>
      </c>
      <c r="B112" s="9" t="s">
        <v>185</v>
      </c>
      <c r="C112" s="9" t="n">
        <v>9</v>
      </c>
      <c r="D112" s="9" t="s">
        <v>439</v>
      </c>
      <c r="E112" s="22" t="n">
        <v>44.95</v>
      </c>
      <c r="F112" s="9" t="s">
        <v>431</v>
      </c>
      <c r="G112" s="8" t="s">
        <v>272</v>
      </c>
      <c r="H112" s="23" t="n">
        <v>46292</v>
      </c>
    </row>
    <row r="113" customFormat="false" ht="15" hidden="false" customHeight="false" outlineLevel="0" collapsed="false">
      <c r="A113" s="9" t="s">
        <v>18</v>
      </c>
      <c r="B113" s="9" t="s">
        <v>185</v>
      </c>
      <c r="C113" s="9" t="n">
        <v>10</v>
      </c>
      <c r="D113" s="9" t="s">
        <v>440</v>
      </c>
      <c r="E113" s="22" t="n">
        <v>69.95</v>
      </c>
      <c r="F113" s="9" t="s">
        <v>431</v>
      </c>
      <c r="G113" s="8" t="s">
        <v>272</v>
      </c>
      <c r="H113" s="23" t="n">
        <v>46292</v>
      </c>
    </row>
    <row r="114" customFormat="false" ht="15" hidden="false" customHeight="false" outlineLevel="0" collapsed="false">
      <c r="A114" s="9" t="s">
        <v>18</v>
      </c>
      <c r="B114" s="9" t="s">
        <v>189</v>
      </c>
      <c r="C114" s="9" t="n">
        <v>1</v>
      </c>
      <c r="D114" s="9" t="s">
        <v>441</v>
      </c>
      <c r="E114" s="22" t="n">
        <v>44.95</v>
      </c>
      <c r="F114" s="9"/>
      <c r="G114" s="8" t="s">
        <v>272</v>
      </c>
      <c r="H114" s="23" t="n">
        <v>46292</v>
      </c>
    </row>
    <row r="115" customFormat="false" ht="15" hidden="false" customHeight="false" outlineLevel="0" collapsed="false">
      <c r="A115" s="9" t="s">
        <v>18</v>
      </c>
      <c r="B115" s="9" t="s">
        <v>189</v>
      </c>
      <c r="C115" s="9" t="n">
        <v>2</v>
      </c>
      <c r="D115" s="9" t="s">
        <v>442</v>
      </c>
      <c r="E115" s="22" t="n">
        <v>49.95</v>
      </c>
      <c r="F115" s="9"/>
      <c r="G115" s="8" t="s">
        <v>272</v>
      </c>
      <c r="H115" s="23" t="n">
        <v>46292</v>
      </c>
    </row>
    <row r="116" customFormat="false" ht="15" hidden="false" customHeight="false" outlineLevel="0" collapsed="false">
      <c r="A116" s="9" t="s">
        <v>18</v>
      </c>
      <c r="B116" s="9" t="s">
        <v>189</v>
      </c>
      <c r="C116" s="9" t="n">
        <v>3</v>
      </c>
      <c r="D116" s="9" t="s">
        <v>443</v>
      </c>
      <c r="E116" s="22" t="n">
        <v>49.95</v>
      </c>
      <c r="F116" s="9" t="s">
        <v>444</v>
      </c>
      <c r="G116" s="8" t="s">
        <v>272</v>
      </c>
      <c r="H116" s="23" t="n">
        <v>46292</v>
      </c>
    </row>
    <row r="117" customFormat="false" ht="15" hidden="false" customHeight="false" outlineLevel="0" collapsed="false">
      <c r="A117" s="9" t="s">
        <v>18</v>
      </c>
      <c r="B117" s="9" t="s">
        <v>189</v>
      </c>
      <c r="C117" s="9" t="n">
        <v>4</v>
      </c>
      <c r="D117" s="9" t="s">
        <v>445</v>
      </c>
      <c r="E117" s="22" t="n">
        <v>44.95</v>
      </c>
      <c r="F117" s="9"/>
      <c r="G117" s="8" t="s">
        <v>272</v>
      </c>
      <c r="H117" s="23" t="n">
        <v>46292</v>
      </c>
    </row>
    <row r="118" customFormat="false" ht="15" hidden="false" customHeight="false" outlineLevel="0" collapsed="false">
      <c r="A118" s="9" t="s">
        <v>18</v>
      </c>
      <c r="B118" s="9" t="s">
        <v>189</v>
      </c>
      <c r="C118" s="9" t="n">
        <v>5</v>
      </c>
      <c r="D118" s="9" t="s">
        <v>446</v>
      </c>
      <c r="E118" s="22" t="n">
        <v>39.95</v>
      </c>
      <c r="F118" s="9" t="s">
        <v>447</v>
      </c>
      <c r="G118" s="8" t="s">
        <v>272</v>
      </c>
      <c r="H118" s="23" t="n">
        <v>46292</v>
      </c>
    </row>
    <row r="119" customFormat="false" ht="15" hidden="false" customHeight="false" outlineLevel="0" collapsed="false">
      <c r="A119" s="9" t="s">
        <v>18</v>
      </c>
      <c r="B119" s="9" t="s">
        <v>189</v>
      </c>
      <c r="C119" s="9" t="n">
        <v>6</v>
      </c>
      <c r="D119" s="9" t="s">
        <v>448</v>
      </c>
      <c r="E119" s="22" t="n">
        <v>49.95</v>
      </c>
      <c r="F119" s="9"/>
      <c r="G119" s="8" t="s">
        <v>272</v>
      </c>
      <c r="H119" s="23" t="n">
        <v>46292</v>
      </c>
    </row>
    <row r="120" customFormat="false" ht="15" hidden="false" customHeight="false" outlineLevel="0" collapsed="false">
      <c r="A120" s="9" t="s">
        <v>18</v>
      </c>
      <c r="B120" s="9" t="s">
        <v>189</v>
      </c>
      <c r="C120" s="9" t="n">
        <v>7</v>
      </c>
      <c r="D120" s="9" t="s">
        <v>449</v>
      </c>
      <c r="E120" s="22" t="n">
        <v>49.95</v>
      </c>
      <c r="F120" s="9"/>
      <c r="G120" s="8" t="s">
        <v>272</v>
      </c>
      <c r="H120" s="23" t="n">
        <v>46292</v>
      </c>
    </row>
    <row r="121" customFormat="false" ht="15" hidden="false" customHeight="false" outlineLevel="0" collapsed="false">
      <c r="A121" s="9" t="s">
        <v>18</v>
      </c>
      <c r="B121" s="9" t="s">
        <v>189</v>
      </c>
      <c r="C121" s="9" t="n">
        <v>8</v>
      </c>
      <c r="D121" s="9" t="s">
        <v>450</v>
      </c>
      <c r="E121" s="22" t="n">
        <v>49.95</v>
      </c>
      <c r="F121" s="9"/>
      <c r="G121" s="8" t="s">
        <v>272</v>
      </c>
      <c r="H121" s="23" t="n">
        <v>46292</v>
      </c>
    </row>
    <row r="122" customFormat="false" ht="15" hidden="false" customHeight="false" outlineLevel="0" collapsed="false">
      <c r="A122" s="9" t="s">
        <v>18</v>
      </c>
      <c r="B122" s="9" t="s">
        <v>189</v>
      </c>
      <c r="C122" s="9" t="n">
        <v>9</v>
      </c>
      <c r="D122" s="9" t="s">
        <v>451</v>
      </c>
      <c r="E122" s="22" t="n">
        <v>44.95</v>
      </c>
      <c r="F122" s="9"/>
      <c r="G122" s="8" t="s">
        <v>272</v>
      </c>
      <c r="H122" s="23" t="n">
        <v>46292</v>
      </c>
    </row>
    <row r="123" customFormat="false" ht="15" hidden="false" customHeight="false" outlineLevel="0" collapsed="false">
      <c r="A123" s="9" t="s">
        <v>18</v>
      </c>
      <c r="B123" s="9" t="s">
        <v>189</v>
      </c>
      <c r="C123" s="9" t="n">
        <v>10</v>
      </c>
      <c r="D123" s="9" t="s">
        <v>452</v>
      </c>
      <c r="E123" s="22" t="n">
        <v>39.95</v>
      </c>
      <c r="F123" s="9"/>
      <c r="G123" s="8" t="s">
        <v>272</v>
      </c>
      <c r="H123" s="23" t="n">
        <v>46292</v>
      </c>
    </row>
    <row r="124" customFormat="false" ht="15" hidden="false" customHeight="false" outlineLevel="0" collapsed="false">
      <c r="A124" s="9" t="s">
        <v>18</v>
      </c>
      <c r="B124" s="9" t="s">
        <v>193</v>
      </c>
      <c r="C124" s="9" t="n">
        <v>1</v>
      </c>
      <c r="D124" s="9" t="s">
        <v>453</v>
      </c>
      <c r="E124" s="22" t="n">
        <v>79.95</v>
      </c>
      <c r="F124" s="9" t="s">
        <v>454</v>
      </c>
      <c r="G124" s="8" t="s">
        <v>272</v>
      </c>
      <c r="H124" s="23" t="n">
        <v>46292</v>
      </c>
    </row>
    <row r="125" customFormat="false" ht="15" hidden="false" customHeight="false" outlineLevel="0" collapsed="false">
      <c r="A125" s="9" t="s">
        <v>18</v>
      </c>
      <c r="B125" s="9" t="s">
        <v>193</v>
      </c>
      <c r="C125" s="9" t="n">
        <v>2</v>
      </c>
      <c r="D125" s="9" t="s">
        <v>455</v>
      </c>
      <c r="E125" s="22" t="n">
        <v>59.95</v>
      </c>
      <c r="F125" s="9" t="s">
        <v>456</v>
      </c>
      <c r="G125" s="8" t="s">
        <v>272</v>
      </c>
      <c r="H125" s="23" t="n">
        <v>46292</v>
      </c>
    </row>
    <row r="126" customFormat="false" ht="15" hidden="false" customHeight="false" outlineLevel="0" collapsed="false">
      <c r="A126" s="9" t="s">
        <v>18</v>
      </c>
      <c r="B126" s="9" t="s">
        <v>193</v>
      </c>
      <c r="C126" s="9" t="n">
        <v>3</v>
      </c>
      <c r="D126" s="9" t="s">
        <v>457</v>
      </c>
      <c r="E126" s="22" t="n">
        <v>44.95</v>
      </c>
      <c r="F126" s="9" t="s">
        <v>458</v>
      </c>
      <c r="G126" s="8" t="s">
        <v>272</v>
      </c>
      <c r="H126" s="23" t="n">
        <v>46292</v>
      </c>
    </row>
    <row r="127" customFormat="false" ht="15" hidden="false" customHeight="false" outlineLevel="0" collapsed="false">
      <c r="A127" s="9" t="s">
        <v>18</v>
      </c>
      <c r="B127" s="9" t="s">
        <v>193</v>
      </c>
      <c r="C127" s="9" t="n">
        <v>4</v>
      </c>
      <c r="D127" s="9" t="s">
        <v>459</v>
      </c>
      <c r="E127" s="22" t="n">
        <v>39.95</v>
      </c>
      <c r="F127" s="9" t="s">
        <v>460</v>
      </c>
      <c r="G127" s="8" t="s">
        <v>272</v>
      </c>
      <c r="H127" s="23" t="n">
        <v>46292</v>
      </c>
    </row>
    <row r="128" customFormat="false" ht="15" hidden="false" customHeight="false" outlineLevel="0" collapsed="false">
      <c r="A128" s="9" t="s">
        <v>18</v>
      </c>
      <c r="B128" s="9" t="s">
        <v>193</v>
      </c>
      <c r="C128" s="9" t="n">
        <v>5</v>
      </c>
      <c r="D128" s="9" t="s">
        <v>461</v>
      </c>
      <c r="E128" s="22" t="n">
        <v>69.95</v>
      </c>
      <c r="F128" s="9" t="s">
        <v>410</v>
      </c>
      <c r="G128" s="8" t="s">
        <v>272</v>
      </c>
      <c r="H128" s="23" t="n">
        <v>46292</v>
      </c>
    </row>
    <row r="129" customFormat="false" ht="15" hidden="false" customHeight="false" outlineLevel="0" collapsed="false">
      <c r="A129" s="9" t="s">
        <v>18</v>
      </c>
      <c r="B129" s="9" t="s">
        <v>193</v>
      </c>
      <c r="C129" s="9" t="n">
        <v>6</v>
      </c>
      <c r="D129" s="9" t="s">
        <v>462</v>
      </c>
      <c r="E129" s="22" t="n">
        <v>34.95</v>
      </c>
      <c r="F129" s="9" t="s">
        <v>463</v>
      </c>
      <c r="G129" s="8" t="s">
        <v>272</v>
      </c>
      <c r="H129" s="23" t="n">
        <v>46292</v>
      </c>
    </row>
    <row r="130" customFormat="false" ht="15" hidden="false" customHeight="false" outlineLevel="0" collapsed="false">
      <c r="A130" s="9" t="s">
        <v>18</v>
      </c>
      <c r="B130" s="9" t="s">
        <v>193</v>
      </c>
      <c r="C130" s="9" t="n">
        <v>7</v>
      </c>
      <c r="D130" s="9" t="s">
        <v>464</v>
      </c>
      <c r="E130" s="22" t="n">
        <v>54.95</v>
      </c>
      <c r="F130" s="9" t="s">
        <v>460</v>
      </c>
      <c r="G130" s="8" t="s">
        <v>272</v>
      </c>
      <c r="H130" s="23" t="n">
        <v>46292</v>
      </c>
    </row>
    <row r="131" customFormat="false" ht="15" hidden="false" customHeight="false" outlineLevel="0" collapsed="false">
      <c r="A131" s="9" t="s">
        <v>18</v>
      </c>
      <c r="B131" s="9" t="s">
        <v>193</v>
      </c>
      <c r="C131" s="9" t="n">
        <v>8</v>
      </c>
      <c r="D131" s="9" t="s">
        <v>465</v>
      </c>
      <c r="E131" s="22" t="n">
        <v>39.95</v>
      </c>
      <c r="F131" s="9" t="s">
        <v>463</v>
      </c>
      <c r="G131" s="8" t="s">
        <v>272</v>
      </c>
      <c r="H131" s="23" t="n">
        <v>46292</v>
      </c>
    </row>
    <row r="132" customFormat="false" ht="15" hidden="false" customHeight="false" outlineLevel="0" collapsed="false">
      <c r="A132" s="9" t="s">
        <v>18</v>
      </c>
      <c r="B132" s="9" t="s">
        <v>193</v>
      </c>
      <c r="C132" s="9" t="n">
        <v>9</v>
      </c>
      <c r="D132" s="9" t="s">
        <v>466</v>
      </c>
      <c r="E132" s="22" t="n">
        <v>29.95</v>
      </c>
      <c r="F132" s="9" t="s">
        <v>467</v>
      </c>
      <c r="G132" s="8" t="s">
        <v>272</v>
      </c>
      <c r="H132" s="23" t="n">
        <v>46292</v>
      </c>
    </row>
    <row r="133" customFormat="false" ht="15" hidden="false" customHeight="false" outlineLevel="0" collapsed="false">
      <c r="A133" s="9" t="s">
        <v>18</v>
      </c>
      <c r="B133" s="9" t="s">
        <v>193</v>
      </c>
      <c r="C133" s="9" t="n">
        <v>10</v>
      </c>
      <c r="D133" s="9" t="s">
        <v>468</v>
      </c>
      <c r="E133" s="22" t="n">
        <v>59.95</v>
      </c>
      <c r="F133" s="9" t="s">
        <v>410</v>
      </c>
      <c r="G133" s="8" t="s">
        <v>272</v>
      </c>
      <c r="H133" s="23" t="n">
        <v>46292</v>
      </c>
    </row>
    <row r="134" customFormat="false" ht="15" hidden="false" customHeight="false" outlineLevel="0" collapsed="false">
      <c r="A134" s="9" t="s">
        <v>18</v>
      </c>
      <c r="B134" s="9" t="s">
        <v>198</v>
      </c>
      <c r="C134" s="9" t="n">
        <v>1</v>
      </c>
      <c r="D134" s="9" t="s">
        <v>469</v>
      </c>
      <c r="E134" s="22" t="n">
        <v>69.99</v>
      </c>
      <c r="F134" s="9" t="s">
        <v>470</v>
      </c>
      <c r="G134" s="8" t="s">
        <v>272</v>
      </c>
      <c r="H134" s="23" t="n">
        <v>46292</v>
      </c>
    </row>
    <row r="135" customFormat="false" ht="15" hidden="false" customHeight="false" outlineLevel="0" collapsed="false">
      <c r="A135" s="9" t="s">
        <v>18</v>
      </c>
      <c r="B135" s="9" t="s">
        <v>198</v>
      </c>
      <c r="C135" s="9" t="n">
        <v>2</v>
      </c>
      <c r="D135" s="9" t="s">
        <v>471</v>
      </c>
      <c r="E135" s="22" t="n">
        <v>49.99</v>
      </c>
      <c r="F135" s="9" t="s">
        <v>472</v>
      </c>
      <c r="G135" s="8" t="s">
        <v>272</v>
      </c>
      <c r="H135" s="23" t="n">
        <v>46292</v>
      </c>
    </row>
    <row r="136" customFormat="false" ht="15" hidden="false" customHeight="false" outlineLevel="0" collapsed="false">
      <c r="A136" s="9" t="s">
        <v>18</v>
      </c>
      <c r="B136" s="9" t="s">
        <v>198</v>
      </c>
      <c r="C136" s="9" t="n">
        <v>3</v>
      </c>
      <c r="D136" s="9" t="s">
        <v>473</v>
      </c>
      <c r="E136" s="22" t="n">
        <v>34.99</v>
      </c>
      <c r="F136" s="9" t="s">
        <v>474</v>
      </c>
      <c r="G136" s="8" t="s">
        <v>272</v>
      </c>
      <c r="H136" s="23" t="n">
        <v>46292</v>
      </c>
    </row>
    <row r="137" customFormat="false" ht="15" hidden="false" customHeight="false" outlineLevel="0" collapsed="false">
      <c r="A137" s="9" t="s">
        <v>18</v>
      </c>
      <c r="B137" s="9" t="s">
        <v>198</v>
      </c>
      <c r="C137" s="9" t="n">
        <v>4</v>
      </c>
      <c r="D137" s="9" t="s">
        <v>475</v>
      </c>
      <c r="E137" s="22" t="n">
        <v>44.99</v>
      </c>
      <c r="F137" s="9" t="s">
        <v>476</v>
      </c>
      <c r="G137" s="8" t="s">
        <v>272</v>
      </c>
      <c r="H137" s="23" t="n">
        <v>46292</v>
      </c>
    </row>
    <row r="138" customFormat="false" ht="15" hidden="false" customHeight="false" outlineLevel="0" collapsed="false">
      <c r="A138" s="9" t="s">
        <v>18</v>
      </c>
      <c r="B138" s="9" t="s">
        <v>198</v>
      </c>
      <c r="C138" s="9" t="n">
        <v>5</v>
      </c>
      <c r="D138" s="9" t="s">
        <v>477</v>
      </c>
      <c r="E138" s="22" t="n">
        <v>59.99</v>
      </c>
      <c r="F138" s="9" t="s">
        <v>478</v>
      </c>
      <c r="G138" s="8" t="s">
        <v>272</v>
      </c>
      <c r="H138" s="23" t="n">
        <v>46292</v>
      </c>
    </row>
    <row r="139" customFormat="false" ht="15" hidden="false" customHeight="false" outlineLevel="0" collapsed="false">
      <c r="A139" s="9" t="s">
        <v>18</v>
      </c>
      <c r="B139" s="9" t="s">
        <v>198</v>
      </c>
      <c r="C139" s="9" t="n">
        <v>6</v>
      </c>
      <c r="D139" s="9" t="s">
        <v>479</v>
      </c>
      <c r="E139" s="22" t="n">
        <v>39.99</v>
      </c>
      <c r="F139" s="9" t="s">
        <v>478</v>
      </c>
      <c r="G139" s="8" t="s">
        <v>272</v>
      </c>
      <c r="H139" s="23" t="n">
        <v>46292</v>
      </c>
    </row>
    <row r="140" customFormat="false" ht="15" hidden="false" customHeight="false" outlineLevel="0" collapsed="false">
      <c r="A140" s="9" t="s">
        <v>18</v>
      </c>
      <c r="B140" s="9" t="s">
        <v>198</v>
      </c>
      <c r="C140" s="9" t="n">
        <v>7</v>
      </c>
      <c r="D140" s="9" t="s">
        <v>480</v>
      </c>
      <c r="E140" s="22" t="n">
        <v>29.99</v>
      </c>
      <c r="F140" s="9" t="s">
        <v>481</v>
      </c>
      <c r="G140" s="8" t="s">
        <v>272</v>
      </c>
      <c r="H140" s="23" t="n">
        <v>46292</v>
      </c>
    </row>
    <row r="141" customFormat="false" ht="15" hidden="false" customHeight="false" outlineLevel="0" collapsed="false">
      <c r="A141" s="9" t="s">
        <v>18</v>
      </c>
      <c r="B141" s="9" t="s">
        <v>198</v>
      </c>
      <c r="C141" s="9" t="n">
        <v>8</v>
      </c>
      <c r="D141" s="9" t="s">
        <v>482</v>
      </c>
      <c r="E141" s="22" t="n">
        <v>49.99</v>
      </c>
      <c r="F141" s="9" t="s">
        <v>483</v>
      </c>
      <c r="G141" s="8" t="s">
        <v>272</v>
      </c>
      <c r="H141" s="23" t="n">
        <v>46292</v>
      </c>
    </row>
    <row r="142" customFormat="false" ht="15" hidden="false" customHeight="false" outlineLevel="0" collapsed="false">
      <c r="A142" s="9" t="s">
        <v>18</v>
      </c>
      <c r="B142" s="9" t="s">
        <v>202</v>
      </c>
      <c r="C142" s="9" t="n">
        <v>1</v>
      </c>
      <c r="D142" s="9" t="s">
        <v>484</v>
      </c>
      <c r="E142" s="22" t="n">
        <v>44.95</v>
      </c>
      <c r="F142" s="9" t="s">
        <v>485</v>
      </c>
      <c r="G142" s="8" t="s">
        <v>272</v>
      </c>
      <c r="H142" s="23" t="n">
        <v>46292</v>
      </c>
    </row>
    <row r="143" customFormat="false" ht="15" hidden="false" customHeight="false" outlineLevel="0" collapsed="false">
      <c r="A143" s="9" t="s">
        <v>18</v>
      </c>
      <c r="B143" s="9" t="s">
        <v>202</v>
      </c>
      <c r="C143" s="9" t="n">
        <v>2</v>
      </c>
      <c r="D143" s="9" t="s">
        <v>486</v>
      </c>
      <c r="E143" s="22" t="n">
        <v>27.95</v>
      </c>
      <c r="F143" s="9" t="s">
        <v>485</v>
      </c>
      <c r="G143" s="8" t="s">
        <v>272</v>
      </c>
      <c r="H143" s="23" t="n">
        <v>46292</v>
      </c>
    </row>
    <row r="144" customFormat="false" ht="15" hidden="false" customHeight="false" outlineLevel="0" collapsed="false">
      <c r="A144" s="9" t="s">
        <v>18</v>
      </c>
      <c r="B144" s="9" t="s">
        <v>202</v>
      </c>
      <c r="C144" s="9" t="n">
        <v>3</v>
      </c>
      <c r="D144" s="9" t="s">
        <v>487</v>
      </c>
      <c r="E144" s="22" t="n">
        <v>54.95</v>
      </c>
      <c r="F144" s="9" t="s">
        <v>488</v>
      </c>
      <c r="G144" s="8" t="s">
        <v>272</v>
      </c>
      <c r="H144" s="23" t="n">
        <v>46292</v>
      </c>
    </row>
    <row r="145" customFormat="false" ht="15" hidden="false" customHeight="false" outlineLevel="0" collapsed="false">
      <c r="A145" s="9" t="s">
        <v>18</v>
      </c>
      <c r="B145" s="9" t="s">
        <v>202</v>
      </c>
      <c r="C145" s="9" t="n">
        <v>4</v>
      </c>
      <c r="D145" s="9" t="s">
        <v>489</v>
      </c>
      <c r="E145" s="22" t="n">
        <v>64.95</v>
      </c>
      <c r="F145" s="9" t="s">
        <v>490</v>
      </c>
      <c r="G145" s="8" t="s">
        <v>272</v>
      </c>
      <c r="H145" s="23" t="n">
        <v>46292</v>
      </c>
    </row>
    <row r="146" customFormat="false" ht="15" hidden="false" customHeight="false" outlineLevel="0" collapsed="false">
      <c r="A146" s="9" t="s">
        <v>18</v>
      </c>
      <c r="B146" s="9" t="s">
        <v>202</v>
      </c>
      <c r="C146" s="9" t="n">
        <v>5</v>
      </c>
      <c r="D146" s="9" t="s">
        <v>491</v>
      </c>
      <c r="E146" s="22" t="n">
        <v>64.95</v>
      </c>
      <c r="F146" s="9" t="s">
        <v>492</v>
      </c>
      <c r="G146" s="8" t="s">
        <v>272</v>
      </c>
      <c r="H146" s="23" t="n">
        <v>46292</v>
      </c>
    </row>
    <row r="147" customFormat="false" ht="15" hidden="false" customHeight="false" outlineLevel="0" collapsed="false">
      <c r="A147" s="9" t="s">
        <v>18</v>
      </c>
      <c r="B147" s="9" t="s">
        <v>202</v>
      </c>
      <c r="C147" s="9" t="n">
        <v>6</v>
      </c>
      <c r="D147" s="9" t="s">
        <v>493</v>
      </c>
      <c r="E147" s="22" t="n">
        <v>42.95</v>
      </c>
      <c r="F147" s="9" t="s">
        <v>494</v>
      </c>
      <c r="G147" s="8" t="s">
        <v>272</v>
      </c>
      <c r="H147" s="23" t="n">
        <v>46292</v>
      </c>
    </row>
    <row r="148" customFormat="false" ht="15" hidden="false" customHeight="false" outlineLevel="0" collapsed="false">
      <c r="A148" s="9" t="s">
        <v>18</v>
      </c>
      <c r="B148" s="9" t="s">
        <v>202</v>
      </c>
      <c r="C148" s="9" t="n">
        <v>7</v>
      </c>
      <c r="D148" s="9" t="s">
        <v>495</v>
      </c>
      <c r="E148" s="22" t="n">
        <v>49.95</v>
      </c>
      <c r="F148" s="9" t="s">
        <v>492</v>
      </c>
      <c r="G148" s="8" t="s">
        <v>272</v>
      </c>
      <c r="H148" s="23" t="n">
        <v>46292</v>
      </c>
    </row>
    <row r="149" customFormat="false" ht="15" hidden="false" customHeight="false" outlineLevel="0" collapsed="false">
      <c r="A149" s="9" t="s">
        <v>18</v>
      </c>
      <c r="B149" s="9" t="s">
        <v>202</v>
      </c>
      <c r="C149" s="9" t="n">
        <v>8</v>
      </c>
      <c r="D149" s="9" t="s">
        <v>496</v>
      </c>
      <c r="E149" s="22" t="n">
        <v>49.95</v>
      </c>
      <c r="F149" s="9" t="s">
        <v>488</v>
      </c>
      <c r="G149" s="8" t="s">
        <v>272</v>
      </c>
      <c r="H149" s="23" t="n">
        <v>46292</v>
      </c>
    </row>
    <row r="150" customFormat="false" ht="15" hidden="false" customHeight="false" outlineLevel="0" collapsed="false">
      <c r="A150" s="9" t="s">
        <v>18</v>
      </c>
      <c r="B150" s="9" t="s">
        <v>202</v>
      </c>
      <c r="C150" s="9" t="n">
        <v>9</v>
      </c>
      <c r="D150" s="9" t="s">
        <v>497</v>
      </c>
      <c r="E150" s="22" t="n">
        <v>74.95</v>
      </c>
      <c r="F150" s="9" t="s">
        <v>498</v>
      </c>
      <c r="G150" s="8" t="s">
        <v>272</v>
      </c>
      <c r="H150" s="23" t="n">
        <v>46292</v>
      </c>
    </row>
    <row r="151" customFormat="false" ht="15" hidden="false" customHeight="false" outlineLevel="0" collapsed="false">
      <c r="A151" s="9" t="s">
        <v>18</v>
      </c>
      <c r="B151" s="9" t="s">
        <v>202</v>
      </c>
      <c r="C151" s="9" t="n">
        <v>10</v>
      </c>
      <c r="D151" s="9" t="s">
        <v>499</v>
      </c>
      <c r="E151" s="22" t="n">
        <v>57.95</v>
      </c>
      <c r="F151" s="9" t="s">
        <v>500</v>
      </c>
      <c r="G151" s="8" t="s">
        <v>272</v>
      </c>
      <c r="H151" s="23" t="n">
        <v>46292</v>
      </c>
    </row>
    <row r="152" customFormat="false" ht="15" hidden="false" customHeight="false" outlineLevel="0" collapsed="false">
      <c r="A152" s="9" t="s">
        <v>20</v>
      </c>
      <c r="B152" s="9" t="s">
        <v>237</v>
      </c>
      <c r="C152" s="9" t="n">
        <v>1</v>
      </c>
      <c r="D152" s="9" t="s">
        <v>501</v>
      </c>
      <c r="E152" s="22" t="n">
        <v>24.95</v>
      </c>
      <c r="F152" s="9" t="s">
        <v>488</v>
      </c>
      <c r="G152" s="8" t="s">
        <v>272</v>
      </c>
      <c r="H152" s="23" t="n">
        <v>46292</v>
      </c>
    </row>
    <row r="153" customFormat="false" ht="15" hidden="false" customHeight="false" outlineLevel="0" collapsed="false">
      <c r="A153" s="9" t="s">
        <v>20</v>
      </c>
      <c r="B153" s="9" t="s">
        <v>237</v>
      </c>
      <c r="C153" s="9" t="n">
        <v>2</v>
      </c>
      <c r="D153" s="9" t="s">
        <v>502</v>
      </c>
      <c r="E153" s="22" t="n">
        <v>29.95</v>
      </c>
      <c r="F153" s="9" t="s">
        <v>503</v>
      </c>
      <c r="G153" s="8" t="s">
        <v>272</v>
      </c>
      <c r="H153" s="23" t="n">
        <v>46292</v>
      </c>
    </row>
    <row r="154" customFormat="false" ht="15" hidden="false" customHeight="false" outlineLevel="0" collapsed="false">
      <c r="A154" s="9" t="s">
        <v>20</v>
      </c>
      <c r="B154" s="9" t="s">
        <v>237</v>
      </c>
      <c r="C154" s="9" t="n">
        <v>3</v>
      </c>
      <c r="D154" s="9" t="s">
        <v>504</v>
      </c>
      <c r="E154" s="22" t="n">
        <v>39.95</v>
      </c>
      <c r="F154" s="9" t="s">
        <v>503</v>
      </c>
      <c r="G154" s="8" t="s">
        <v>272</v>
      </c>
      <c r="H154" s="23" t="n">
        <v>46292</v>
      </c>
    </row>
    <row r="155" customFormat="false" ht="15" hidden="false" customHeight="false" outlineLevel="0" collapsed="false">
      <c r="A155" s="9" t="s">
        <v>20</v>
      </c>
      <c r="B155" s="9" t="s">
        <v>237</v>
      </c>
      <c r="C155" s="9" t="n">
        <v>4</v>
      </c>
      <c r="D155" s="9" t="s">
        <v>505</v>
      </c>
      <c r="E155" s="22" t="n">
        <v>29.95</v>
      </c>
      <c r="F155" s="9" t="s">
        <v>506</v>
      </c>
      <c r="G155" s="8" t="s">
        <v>272</v>
      </c>
      <c r="H155" s="23" t="n">
        <v>46292</v>
      </c>
    </row>
    <row r="156" customFormat="false" ht="15" hidden="false" customHeight="false" outlineLevel="0" collapsed="false">
      <c r="A156" s="9" t="s">
        <v>20</v>
      </c>
      <c r="B156" s="9" t="s">
        <v>237</v>
      </c>
      <c r="C156" s="9" t="n">
        <v>5</v>
      </c>
      <c r="D156" s="9" t="s">
        <v>507</v>
      </c>
      <c r="E156" s="22" t="n">
        <v>29.95</v>
      </c>
      <c r="F156" s="9" t="s">
        <v>485</v>
      </c>
      <c r="G156" s="8" t="s">
        <v>272</v>
      </c>
      <c r="H156" s="23" t="n">
        <v>46292</v>
      </c>
    </row>
    <row r="157" customFormat="false" ht="15" hidden="false" customHeight="false" outlineLevel="0" collapsed="false">
      <c r="A157" s="9" t="s">
        <v>20</v>
      </c>
      <c r="B157" s="9" t="s">
        <v>237</v>
      </c>
      <c r="C157" s="9" t="n">
        <v>6</v>
      </c>
      <c r="D157" s="9" t="s">
        <v>508</v>
      </c>
      <c r="E157" s="22" t="n">
        <v>29.95</v>
      </c>
      <c r="F157" s="9" t="s">
        <v>509</v>
      </c>
      <c r="G157" s="8" t="s">
        <v>272</v>
      </c>
      <c r="H157" s="23" t="n">
        <v>46292</v>
      </c>
    </row>
    <row r="158" customFormat="false" ht="15" hidden="false" customHeight="false" outlineLevel="0" collapsed="false">
      <c r="A158" s="9" t="s">
        <v>20</v>
      </c>
      <c r="B158" s="9" t="s">
        <v>237</v>
      </c>
      <c r="C158" s="9" t="n">
        <v>7</v>
      </c>
      <c r="D158" s="9" t="s">
        <v>510</v>
      </c>
      <c r="E158" s="22" t="n">
        <v>29.95</v>
      </c>
      <c r="F158" s="9" t="s">
        <v>485</v>
      </c>
      <c r="G158" s="8" t="s">
        <v>272</v>
      </c>
      <c r="H158" s="23" t="n">
        <v>46292</v>
      </c>
    </row>
    <row r="159" customFormat="false" ht="15" hidden="false" customHeight="false" outlineLevel="0" collapsed="false">
      <c r="A159" s="9" t="s">
        <v>20</v>
      </c>
      <c r="B159" s="9" t="s">
        <v>237</v>
      </c>
      <c r="C159" s="9" t="n">
        <v>8</v>
      </c>
      <c r="D159" s="9" t="s">
        <v>511</v>
      </c>
      <c r="E159" s="22" t="n">
        <v>39.95</v>
      </c>
      <c r="F159" s="9" t="s">
        <v>503</v>
      </c>
      <c r="G159" s="8" t="s">
        <v>272</v>
      </c>
      <c r="H159" s="23" t="n">
        <v>46292</v>
      </c>
    </row>
    <row r="160" customFormat="false" ht="15" hidden="false" customHeight="false" outlineLevel="0" collapsed="false">
      <c r="A160" s="9" t="s">
        <v>20</v>
      </c>
      <c r="B160" s="9" t="s">
        <v>237</v>
      </c>
      <c r="C160" s="9" t="n">
        <v>9</v>
      </c>
      <c r="D160" s="9" t="s">
        <v>512</v>
      </c>
      <c r="E160" s="22" t="n">
        <v>39.95</v>
      </c>
      <c r="F160" s="9" t="s">
        <v>513</v>
      </c>
      <c r="G160" s="8" t="s">
        <v>272</v>
      </c>
      <c r="H160" s="23" t="n">
        <v>46292</v>
      </c>
    </row>
    <row r="161" customFormat="false" ht="15" hidden="false" customHeight="false" outlineLevel="0" collapsed="false">
      <c r="A161" s="9" t="s">
        <v>20</v>
      </c>
      <c r="B161" s="9" t="s">
        <v>237</v>
      </c>
      <c r="C161" s="9" t="n">
        <v>10</v>
      </c>
      <c r="D161" s="9" t="s">
        <v>514</v>
      </c>
      <c r="E161" s="22" t="n">
        <v>29.95</v>
      </c>
      <c r="F161" s="9" t="s">
        <v>515</v>
      </c>
      <c r="G161" s="8" t="s">
        <v>272</v>
      </c>
      <c r="H161" s="23" t="n">
        <v>46292</v>
      </c>
    </row>
    <row r="162" customFormat="false" ht="15" hidden="false" customHeight="false" outlineLevel="0" collapsed="false">
      <c r="A162" s="9" t="s">
        <v>20</v>
      </c>
      <c r="B162" s="9" t="s">
        <v>242</v>
      </c>
      <c r="C162" s="9" t="n">
        <v>1</v>
      </c>
      <c r="D162" s="9" t="s">
        <v>516</v>
      </c>
      <c r="E162" s="22" t="n">
        <v>24.95</v>
      </c>
      <c r="F162" s="9" t="s">
        <v>517</v>
      </c>
      <c r="G162" s="8" t="s">
        <v>272</v>
      </c>
      <c r="H162" s="23" t="n">
        <v>46292</v>
      </c>
    </row>
    <row r="163" customFormat="false" ht="15" hidden="false" customHeight="false" outlineLevel="0" collapsed="false">
      <c r="A163" s="9" t="s">
        <v>20</v>
      </c>
      <c r="B163" s="9" t="s">
        <v>242</v>
      </c>
      <c r="C163" s="9" t="n">
        <v>2</v>
      </c>
      <c r="D163" s="9" t="s">
        <v>518</v>
      </c>
      <c r="E163" s="22" t="n">
        <v>29.95</v>
      </c>
      <c r="F163" s="9" t="s">
        <v>519</v>
      </c>
      <c r="G163" s="8" t="s">
        <v>272</v>
      </c>
      <c r="H163" s="23" t="n">
        <v>46292</v>
      </c>
    </row>
    <row r="164" customFormat="false" ht="15" hidden="false" customHeight="false" outlineLevel="0" collapsed="false">
      <c r="A164" s="9" t="s">
        <v>20</v>
      </c>
      <c r="B164" s="9" t="s">
        <v>242</v>
      </c>
      <c r="C164" s="9" t="n">
        <v>3</v>
      </c>
      <c r="D164" s="9" t="s">
        <v>520</v>
      </c>
      <c r="E164" s="22" t="n">
        <v>24.95</v>
      </c>
      <c r="F164" s="9" t="s">
        <v>521</v>
      </c>
      <c r="G164" s="8" t="s">
        <v>272</v>
      </c>
      <c r="H164" s="23" t="n">
        <v>46292</v>
      </c>
    </row>
    <row r="165" customFormat="false" ht="15" hidden="false" customHeight="false" outlineLevel="0" collapsed="false">
      <c r="A165" s="9" t="s">
        <v>20</v>
      </c>
      <c r="B165" s="9" t="s">
        <v>242</v>
      </c>
      <c r="C165" s="9" t="n">
        <v>4</v>
      </c>
      <c r="D165" s="9" t="s">
        <v>522</v>
      </c>
      <c r="E165" s="22" t="n">
        <v>24.95</v>
      </c>
      <c r="F165" s="9" t="s">
        <v>519</v>
      </c>
      <c r="G165" s="8" t="s">
        <v>272</v>
      </c>
      <c r="H165" s="23" t="n">
        <v>46292</v>
      </c>
    </row>
    <row r="166" customFormat="false" ht="15" hidden="false" customHeight="false" outlineLevel="0" collapsed="false">
      <c r="A166" s="9" t="s">
        <v>20</v>
      </c>
      <c r="B166" s="9" t="s">
        <v>242</v>
      </c>
      <c r="C166" s="9" t="n">
        <v>5</v>
      </c>
      <c r="D166" s="9" t="s">
        <v>523</v>
      </c>
      <c r="E166" s="22" t="n">
        <v>24.95</v>
      </c>
      <c r="F166" s="9" t="s">
        <v>517</v>
      </c>
      <c r="G166" s="8" t="s">
        <v>272</v>
      </c>
      <c r="H166" s="23" t="n">
        <v>46292</v>
      </c>
    </row>
    <row r="167" customFormat="false" ht="15" hidden="false" customHeight="false" outlineLevel="0" collapsed="false">
      <c r="A167" s="9" t="s">
        <v>20</v>
      </c>
      <c r="B167" s="9" t="s">
        <v>242</v>
      </c>
      <c r="C167" s="9" t="n">
        <v>6</v>
      </c>
      <c r="D167" s="9" t="s">
        <v>524</v>
      </c>
      <c r="E167" s="22" t="n">
        <v>29.95</v>
      </c>
      <c r="F167" s="9" t="s">
        <v>456</v>
      </c>
      <c r="G167" s="8" t="s">
        <v>272</v>
      </c>
      <c r="H167" s="23" t="n">
        <v>46292</v>
      </c>
    </row>
    <row r="168" customFormat="false" ht="15" hidden="false" customHeight="false" outlineLevel="0" collapsed="false">
      <c r="A168" s="9" t="s">
        <v>20</v>
      </c>
      <c r="B168" s="9" t="s">
        <v>242</v>
      </c>
      <c r="C168" s="9" t="n">
        <v>7</v>
      </c>
      <c r="D168" s="9" t="s">
        <v>525</v>
      </c>
      <c r="E168" s="22" t="n">
        <v>29.95</v>
      </c>
      <c r="F168" s="9" t="s">
        <v>517</v>
      </c>
      <c r="G168" s="8" t="s">
        <v>272</v>
      </c>
      <c r="H168" s="23" t="n">
        <v>46292</v>
      </c>
    </row>
    <row r="169" customFormat="false" ht="15" hidden="false" customHeight="false" outlineLevel="0" collapsed="false">
      <c r="A169" s="9" t="s">
        <v>20</v>
      </c>
      <c r="B169" s="9" t="s">
        <v>242</v>
      </c>
      <c r="C169" s="9" t="n">
        <v>8</v>
      </c>
      <c r="D169" s="9" t="s">
        <v>526</v>
      </c>
      <c r="E169" s="22" t="n">
        <v>24.95</v>
      </c>
      <c r="F169" s="9" t="s">
        <v>517</v>
      </c>
      <c r="G169" s="8" t="s">
        <v>272</v>
      </c>
      <c r="H169" s="23" t="n">
        <v>46292</v>
      </c>
    </row>
    <row r="170" customFormat="false" ht="15" hidden="false" customHeight="false" outlineLevel="0" collapsed="false">
      <c r="A170" s="9" t="s">
        <v>20</v>
      </c>
      <c r="B170" s="9" t="s">
        <v>242</v>
      </c>
      <c r="C170" s="9" t="n">
        <v>9</v>
      </c>
      <c r="D170" s="9" t="s">
        <v>527</v>
      </c>
      <c r="E170" s="22" t="n">
        <v>29.95</v>
      </c>
      <c r="F170" s="9" t="s">
        <v>456</v>
      </c>
      <c r="G170" s="8" t="s">
        <v>272</v>
      </c>
      <c r="H170" s="23" t="n">
        <v>46292</v>
      </c>
    </row>
    <row r="171" customFormat="false" ht="15" hidden="false" customHeight="false" outlineLevel="0" collapsed="false">
      <c r="A171" s="9" t="s">
        <v>20</v>
      </c>
      <c r="B171" s="9" t="s">
        <v>242</v>
      </c>
      <c r="C171" s="9" t="n">
        <v>10</v>
      </c>
      <c r="D171" s="9" t="s">
        <v>528</v>
      </c>
      <c r="E171" s="22" t="n">
        <v>34.95</v>
      </c>
      <c r="F171" s="9" t="s">
        <v>529</v>
      </c>
      <c r="G171" s="8" t="s">
        <v>272</v>
      </c>
      <c r="H171" s="23" t="n">
        <v>46292</v>
      </c>
    </row>
    <row r="172" customFormat="false" ht="15" hidden="false" customHeight="false" outlineLevel="0" collapsed="false">
      <c r="A172" s="9" t="s">
        <v>20</v>
      </c>
      <c r="B172" s="9" t="s">
        <v>258</v>
      </c>
      <c r="C172" s="9" t="n">
        <v>1</v>
      </c>
      <c r="D172" s="9" t="s">
        <v>530</v>
      </c>
      <c r="E172" s="22" t="n">
        <v>34.95</v>
      </c>
      <c r="F172" s="9" t="s">
        <v>531</v>
      </c>
      <c r="G172" s="8" t="s">
        <v>272</v>
      </c>
      <c r="H172" s="23" t="n">
        <v>46292</v>
      </c>
    </row>
    <row r="173" customFormat="false" ht="15" hidden="false" customHeight="false" outlineLevel="0" collapsed="false">
      <c r="A173" s="9" t="s">
        <v>20</v>
      </c>
      <c r="B173" s="9" t="s">
        <v>258</v>
      </c>
      <c r="C173" s="9" t="n">
        <v>2</v>
      </c>
      <c r="D173" s="9" t="s">
        <v>532</v>
      </c>
      <c r="E173" s="22" t="n">
        <v>29.95</v>
      </c>
      <c r="F173" s="9" t="s">
        <v>533</v>
      </c>
      <c r="G173" s="8" t="s">
        <v>272</v>
      </c>
      <c r="H173" s="23" t="n">
        <v>46292</v>
      </c>
    </row>
    <row r="174" customFormat="false" ht="15" hidden="false" customHeight="false" outlineLevel="0" collapsed="false">
      <c r="A174" s="9" t="s">
        <v>20</v>
      </c>
      <c r="B174" s="9" t="s">
        <v>258</v>
      </c>
      <c r="C174" s="9" t="n">
        <v>3</v>
      </c>
      <c r="D174" s="9" t="s">
        <v>534</v>
      </c>
      <c r="E174" s="22" t="n">
        <v>29.95</v>
      </c>
      <c r="F174" s="9" t="s">
        <v>509</v>
      </c>
      <c r="G174" s="8" t="s">
        <v>272</v>
      </c>
      <c r="H174" s="23" t="n">
        <v>46292</v>
      </c>
    </row>
    <row r="175" customFormat="false" ht="15" hidden="false" customHeight="false" outlineLevel="0" collapsed="false">
      <c r="A175" s="9" t="s">
        <v>20</v>
      </c>
      <c r="B175" s="9" t="s">
        <v>258</v>
      </c>
      <c r="C175" s="9" t="n">
        <v>4</v>
      </c>
      <c r="D175" s="9" t="s">
        <v>535</v>
      </c>
      <c r="E175" s="22" t="n">
        <v>29.95</v>
      </c>
      <c r="F175" s="9" t="s">
        <v>509</v>
      </c>
      <c r="G175" s="8" t="s">
        <v>272</v>
      </c>
      <c r="H175" s="23" t="n">
        <v>46292</v>
      </c>
    </row>
    <row r="176" customFormat="false" ht="15" hidden="false" customHeight="false" outlineLevel="0" collapsed="false">
      <c r="A176" s="9" t="s">
        <v>20</v>
      </c>
      <c r="B176" s="9" t="s">
        <v>258</v>
      </c>
      <c r="C176" s="9" t="n">
        <v>5</v>
      </c>
      <c r="D176" s="9" t="s">
        <v>536</v>
      </c>
      <c r="E176" s="22" t="n">
        <v>29.95</v>
      </c>
      <c r="F176" s="9" t="s">
        <v>533</v>
      </c>
      <c r="G176" s="8" t="s">
        <v>272</v>
      </c>
      <c r="H176" s="23" t="n">
        <v>46292</v>
      </c>
    </row>
    <row r="177" customFormat="false" ht="15" hidden="false" customHeight="false" outlineLevel="0" collapsed="false">
      <c r="A177" s="9" t="s">
        <v>20</v>
      </c>
      <c r="B177" s="9" t="s">
        <v>258</v>
      </c>
      <c r="C177" s="9" t="n">
        <v>6</v>
      </c>
      <c r="D177" s="9" t="s">
        <v>537</v>
      </c>
      <c r="E177" s="22" t="n">
        <v>29.95</v>
      </c>
      <c r="F177" s="9" t="s">
        <v>538</v>
      </c>
      <c r="G177" s="8" t="s">
        <v>272</v>
      </c>
      <c r="H177" s="23" t="n">
        <v>46292</v>
      </c>
    </row>
    <row r="178" customFormat="false" ht="15" hidden="false" customHeight="false" outlineLevel="0" collapsed="false">
      <c r="A178" s="9" t="s">
        <v>20</v>
      </c>
      <c r="B178" s="9" t="s">
        <v>258</v>
      </c>
      <c r="C178" s="9" t="n">
        <v>7</v>
      </c>
      <c r="D178" s="9" t="s">
        <v>539</v>
      </c>
      <c r="E178" s="22" t="n">
        <v>34.95</v>
      </c>
      <c r="F178" s="9" t="s">
        <v>531</v>
      </c>
      <c r="G178" s="8" t="s">
        <v>272</v>
      </c>
      <c r="H178" s="23" t="n">
        <v>46292</v>
      </c>
    </row>
    <row r="179" customFormat="false" ht="15" hidden="false" customHeight="false" outlineLevel="0" collapsed="false">
      <c r="A179" s="9" t="s">
        <v>20</v>
      </c>
      <c r="B179" s="9" t="s">
        <v>258</v>
      </c>
      <c r="C179" s="9" t="n">
        <v>8</v>
      </c>
      <c r="D179" s="9" t="s">
        <v>540</v>
      </c>
      <c r="E179" s="22" t="n">
        <v>29.95</v>
      </c>
      <c r="F179" s="9" t="s">
        <v>533</v>
      </c>
      <c r="G179" s="8" t="s">
        <v>272</v>
      </c>
      <c r="H179" s="23" t="n">
        <v>46292</v>
      </c>
    </row>
    <row r="180" customFormat="false" ht="15" hidden="false" customHeight="false" outlineLevel="0" collapsed="false">
      <c r="A180" s="9" t="s">
        <v>20</v>
      </c>
      <c r="B180" s="9" t="s">
        <v>258</v>
      </c>
      <c r="C180" s="9" t="n">
        <v>9</v>
      </c>
      <c r="D180" s="9" t="s">
        <v>541</v>
      </c>
      <c r="E180" s="22" t="n">
        <v>44.95</v>
      </c>
      <c r="F180" s="9" t="s">
        <v>531</v>
      </c>
      <c r="G180" s="8" t="s">
        <v>272</v>
      </c>
      <c r="H180" s="23" t="n">
        <v>46292</v>
      </c>
    </row>
    <row r="181" customFormat="false" ht="15" hidden="false" customHeight="false" outlineLevel="0" collapsed="false">
      <c r="A181" s="9" t="s">
        <v>20</v>
      </c>
      <c r="B181" s="9" t="s">
        <v>258</v>
      </c>
      <c r="C181" s="9" t="n">
        <v>10</v>
      </c>
      <c r="D181" s="9" t="s">
        <v>542</v>
      </c>
      <c r="E181" s="22" t="n">
        <v>29.95</v>
      </c>
      <c r="F181" s="9" t="s">
        <v>509</v>
      </c>
      <c r="G181" s="8" t="s">
        <v>272</v>
      </c>
      <c r="H181" s="23" t="n">
        <v>46292</v>
      </c>
    </row>
    <row r="182" customFormat="false" ht="15" hidden="false" customHeight="false" outlineLevel="0" collapsed="false">
      <c r="A182" s="9" t="s">
        <v>20</v>
      </c>
      <c r="B182" s="9" t="s">
        <v>250</v>
      </c>
      <c r="C182" s="9" t="n">
        <v>1</v>
      </c>
      <c r="D182" s="9" t="s">
        <v>543</v>
      </c>
      <c r="E182" s="22" t="n">
        <v>39.95</v>
      </c>
      <c r="F182" s="9" t="s">
        <v>533</v>
      </c>
      <c r="G182" s="8" t="s">
        <v>272</v>
      </c>
      <c r="H182" s="23" t="n">
        <v>46292</v>
      </c>
    </row>
    <row r="183" customFormat="false" ht="15" hidden="false" customHeight="false" outlineLevel="0" collapsed="false">
      <c r="A183" s="9" t="s">
        <v>20</v>
      </c>
      <c r="B183" s="9" t="s">
        <v>250</v>
      </c>
      <c r="C183" s="9" t="n">
        <v>2</v>
      </c>
      <c r="D183" s="9" t="s">
        <v>544</v>
      </c>
      <c r="E183" s="22" t="n">
        <v>19.95</v>
      </c>
      <c r="F183" s="9" t="s">
        <v>545</v>
      </c>
      <c r="G183" s="8" t="s">
        <v>272</v>
      </c>
      <c r="H183" s="23" t="n">
        <v>46292</v>
      </c>
    </row>
    <row r="184" customFormat="false" ht="15" hidden="false" customHeight="false" outlineLevel="0" collapsed="false">
      <c r="A184" s="9" t="s">
        <v>20</v>
      </c>
      <c r="B184" s="9" t="s">
        <v>250</v>
      </c>
      <c r="C184" s="9" t="n">
        <v>3</v>
      </c>
      <c r="D184" s="9" t="s">
        <v>546</v>
      </c>
      <c r="E184" s="22" t="n">
        <v>17.95</v>
      </c>
      <c r="F184" s="9" t="s">
        <v>547</v>
      </c>
      <c r="G184" s="8" t="s">
        <v>272</v>
      </c>
      <c r="H184" s="23" t="n">
        <v>46292</v>
      </c>
    </row>
    <row r="185" customFormat="false" ht="15" hidden="false" customHeight="false" outlineLevel="0" collapsed="false">
      <c r="A185" s="9" t="s">
        <v>20</v>
      </c>
      <c r="B185" s="9" t="s">
        <v>250</v>
      </c>
      <c r="C185" s="9" t="n">
        <v>4</v>
      </c>
      <c r="D185" s="9" t="s">
        <v>548</v>
      </c>
      <c r="E185" s="22" t="n">
        <v>30.95</v>
      </c>
      <c r="F185" s="9" t="s">
        <v>549</v>
      </c>
      <c r="G185" s="8" t="s">
        <v>272</v>
      </c>
      <c r="H185" s="23" t="n">
        <v>46292</v>
      </c>
    </row>
    <row r="186" customFormat="false" ht="15" hidden="false" customHeight="false" outlineLevel="0" collapsed="false">
      <c r="A186" s="9" t="s">
        <v>20</v>
      </c>
      <c r="B186" s="9" t="s">
        <v>250</v>
      </c>
      <c r="C186" s="9" t="n">
        <v>5</v>
      </c>
      <c r="D186" s="9" t="s">
        <v>550</v>
      </c>
      <c r="E186" s="22" t="n">
        <v>39.95</v>
      </c>
      <c r="F186" s="9" t="s">
        <v>551</v>
      </c>
      <c r="G186" s="8" t="s">
        <v>272</v>
      </c>
      <c r="H186" s="23" t="n">
        <v>46292</v>
      </c>
    </row>
    <row r="187" customFormat="false" ht="15" hidden="false" customHeight="false" outlineLevel="0" collapsed="false">
      <c r="A187" s="9" t="s">
        <v>20</v>
      </c>
      <c r="B187" s="9" t="s">
        <v>250</v>
      </c>
      <c r="C187" s="9" t="n">
        <v>6</v>
      </c>
      <c r="D187" s="9" t="s">
        <v>552</v>
      </c>
      <c r="E187" s="22" t="n">
        <v>35.95</v>
      </c>
      <c r="F187" s="9" t="s">
        <v>553</v>
      </c>
      <c r="G187" s="8" t="s">
        <v>272</v>
      </c>
      <c r="H187" s="23" t="n">
        <v>46292</v>
      </c>
    </row>
    <row r="188" customFormat="false" ht="15" hidden="false" customHeight="false" outlineLevel="0" collapsed="false">
      <c r="A188" s="9" t="s">
        <v>20</v>
      </c>
      <c r="B188" s="9" t="s">
        <v>250</v>
      </c>
      <c r="C188" s="9" t="n">
        <v>7</v>
      </c>
      <c r="D188" s="9" t="s">
        <v>554</v>
      </c>
      <c r="E188" s="22" t="n">
        <v>29.99</v>
      </c>
      <c r="F188" s="9" t="s">
        <v>547</v>
      </c>
      <c r="G188" s="8" t="s">
        <v>272</v>
      </c>
      <c r="H188" s="23" t="n">
        <v>46292</v>
      </c>
    </row>
    <row r="189" customFormat="false" ht="15" hidden="false" customHeight="false" outlineLevel="0" collapsed="false">
      <c r="A189" s="9" t="s">
        <v>20</v>
      </c>
      <c r="B189" s="9" t="s">
        <v>250</v>
      </c>
      <c r="C189" s="9" t="n">
        <v>8</v>
      </c>
      <c r="D189" s="9" t="s">
        <v>555</v>
      </c>
      <c r="E189" s="22" t="n">
        <v>2.95</v>
      </c>
      <c r="F189" s="9" t="s">
        <v>556</v>
      </c>
      <c r="G189" s="8" t="s">
        <v>272</v>
      </c>
      <c r="H189" s="23" t="n">
        <v>46292</v>
      </c>
    </row>
    <row r="190" customFormat="false" ht="15" hidden="false" customHeight="false" outlineLevel="0" collapsed="false">
      <c r="A190" s="9" t="s">
        <v>20</v>
      </c>
      <c r="B190" s="9" t="s">
        <v>250</v>
      </c>
      <c r="C190" s="9" t="n">
        <v>9</v>
      </c>
      <c r="D190" s="9" t="s">
        <v>557</v>
      </c>
      <c r="E190" s="22" t="n">
        <v>26.95</v>
      </c>
      <c r="F190" s="9" t="s">
        <v>558</v>
      </c>
      <c r="G190" s="8" t="s">
        <v>272</v>
      </c>
      <c r="H190" s="23" t="n">
        <v>46292</v>
      </c>
    </row>
    <row r="191" customFormat="false" ht="15" hidden="false" customHeight="false" outlineLevel="0" collapsed="false">
      <c r="A191" s="9" t="s">
        <v>20</v>
      </c>
      <c r="B191" s="9" t="s">
        <v>250</v>
      </c>
      <c r="C191" s="9" t="n">
        <v>10</v>
      </c>
      <c r="D191" s="9" t="s">
        <v>559</v>
      </c>
      <c r="E191" s="22" t="n">
        <v>28.5</v>
      </c>
      <c r="F191" s="9" t="s">
        <v>560</v>
      </c>
      <c r="G191" s="8" t="s">
        <v>272</v>
      </c>
      <c r="H191" s="23" t="n">
        <v>46292</v>
      </c>
    </row>
  </sheetData>
  <autoFilter ref="A4:H191"/>
  <hyperlinks>
    <hyperlink ref="G5" r:id="rId1" display="Bekijk"/>
    <hyperlink ref="G6" r:id="rId2" display="Bekijk"/>
    <hyperlink ref="G7" r:id="rId3" display="Bekijk"/>
    <hyperlink ref="G8" r:id="rId4" display="Bekijk"/>
    <hyperlink ref="G9" r:id="rId5" display="Bekijk"/>
    <hyperlink ref="G10" r:id="rId6" display="Bekijk"/>
    <hyperlink ref="G11" r:id="rId7" display="Bekijk"/>
    <hyperlink ref="G12" r:id="rId8" display="Bekijk"/>
    <hyperlink ref="G13" r:id="rId9" display="Bekijk"/>
    <hyperlink ref="G14" r:id="rId10" display="Bekijk"/>
    <hyperlink ref="G15" r:id="rId11" display="Bekijk"/>
    <hyperlink ref="G16" r:id="rId12" display="Bekijk"/>
    <hyperlink ref="G17" r:id="rId13" display="Bekijk"/>
    <hyperlink ref="G18" r:id="rId14" display="Bekijk"/>
    <hyperlink ref="G19" r:id="rId15" display="Bekijk"/>
    <hyperlink ref="G20" r:id="rId16" display="Bekijk"/>
    <hyperlink ref="G21" r:id="rId17" display="Bekijk"/>
    <hyperlink ref="G22" r:id="rId18" display="Bekijk"/>
    <hyperlink ref="G23" r:id="rId19" display="Bekijk"/>
    <hyperlink ref="G24" r:id="rId20" display="Bekijk"/>
    <hyperlink ref="G25" r:id="rId21" display="Bekijk"/>
    <hyperlink ref="G26" r:id="rId22" display="Bekijk"/>
    <hyperlink ref="G27" r:id="rId23" display="Bekijk"/>
    <hyperlink ref="G28" r:id="rId24" display="Bekijk"/>
    <hyperlink ref="G29" r:id="rId25" display="Bekijk"/>
    <hyperlink ref="G30" r:id="rId26" display="Bekijk"/>
    <hyperlink ref="G31" r:id="rId27" display="Bekijk"/>
    <hyperlink ref="G32" r:id="rId28" display="Bekijk"/>
    <hyperlink ref="G33" r:id="rId29" display="Bekijk"/>
    <hyperlink ref="G34" r:id="rId30" display="Bekijk"/>
    <hyperlink ref="G35" r:id="rId31" display="Bekijk"/>
    <hyperlink ref="G36" r:id="rId32" display="Bekijk"/>
    <hyperlink ref="G37" r:id="rId33" display="Bekijk"/>
    <hyperlink ref="G38" r:id="rId34" display="Bekijk"/>
    <hyperlink ref="G39" r:id="rId35" display="Bekijk"/>
    <hyperlink ref="G40" r:id="rId36" display="Bekijk"/>
    <hyperlink ref="G41" r:id="rId37" display="Bekijk"/>
    <hyperlink ref="G42" r:id="rId38" display="Bekijk"/>
    <hyperlink ref="G43" r:id="rId39" display="Bekijk"/>
    <hyperlink ref="G44" r:id="rId40" display="Bekijk"/>
    <hyperlink ref="G45" r:id="rId41" display="Bekijk"/>
    <hyperlink ref="G46" r:id="rId42" display="Bekijk"/>
    <hyperlink ref="G47" r:id="rId43" display="Bekijk"/>
    <hyperlink ref="G48" r:id="rId44" display="Bekijk"/>
    <hyperlink ref="G49" r:id="rId45" display="Bekijk"/>
    <hyperlink ref="G50" r:id="rId46" display="Bekijk"/>
    <hyperlink ref="G51" r:id="rId47" display="Bekijk"/>
    <hyperlink ref="G52" r:id="rId48" display="Bekijk"/>
    <hyperlink ref="G53" r:id="rId49" display="Bekijk"/>
    <hyperlink ref="G54" r:id="rId50" display="Bekijk"/>
    <hyperlink ref="G55" r:id="rId51" display="Bekijk"/>
    <hyperlink ref="G56" r:id="rId52" display="Bekijk"/>
    <hyperlink ref="G57" r:id="rId53" display="Bekijk"/>
    <hyperlink ref="G58" r:id="rId54" display="Bekijk"/>
    <hyperlink ref="G59" r:id="rId55" display="Bekijk"/>
    <hyperlink ref="G60" r:id="rId56" display="Bekijk"/>
    <hyperlink ref="G61" r:id="rId57" display="Bekijk"/>
    <hyperlink ref="G62" r:id="rId58" display="Bekijk"/>
    <hyperlink ref="G63" r:id="rId59" display="Bekijk"/>
    <hyperlink ref="G64" r:id="rId60" display="Bekijk"/>
    <hyperlink ref="G65" r:id="rId61" display="Bekijk"/>
    <hyperlink ref="G66" r:id="rId62" display="Bekijk"/>
    <hyperlink ref="G67" r:id="rId63" display="Bekijk"/>
    <hyperlink ref="G68" r:id="rId64" display="Bekijk"/>
    <hyperlink ref="G69" r:id="rId65" display="Bekijk"/>
    <hyperlink ref="G70" r:id="rId66" display="Bekijk"/>
    <hyperlink ref="G71" r:id="rId67" display="Bekijk"/>
    <hyperlink ref="G72" r:id="rId68" display="Bekijk"/>
    <hyperlink ref="G73" r:id="rId69" display="Bekijk"/>
    <hyperlink ref="G74" r:id="rId70" display="Bekijk"/>
    <hyperlink ref="G75" r:id="rId71" display="Bekijk"/>
    <hyperlink ref="G76" r:id="rId72" display="Bekijk"/>
    <hyperlink ref="G77" r:id="rId73" display="Bekijk"/>
    <hyperlink ref="G78" r:id="rId74" display="Bekijk"/>
    <hyperlink ref="G79" r:id="rId75" display="Bekijk"/>
    <hyperlink ref="G80" r:id="rId76" display="Bekijk"/>
    <hyperlink ref="G81" r:id="rId77" display="Bekijk"/>
    <hyperlink ref="G82" r:id="rId78" display="Bekijk"/>
    <hyperlink ref="G83" r:id="rId79" display="Bekijk"/>
    <hyperlink ref="G84" r:id="rId80" display="Bekijk"/>
    <hyperlink ref="G85" r:id="rId81" display="Bekijk"/>
    <hyperlink ref="G86" r:id="rId82" display="Bekijk"/>
    <hyperlink ref="G87" r:id="rId83" display="Bekijk"/>
    <hyperlink ref="G88" r:id="rId84" display="Bekijk"/>
    <hyperlink ref="G89" r:id="rId85" display="Bekijk"/>
    <hyperlink ref="G90" r:id="rId86" display="Bekijk"/>
    <hyperlink ref="G91" r:id="rId87" display="Bekijk"/>
    <hyperlink ref="G92" r:id="rId88" display="Bekijk"/>
    <hyperlink ref="G93" r:id="rId89" display="Bekijk"/>
    <hyperlink ref="G94" r:id="rId90" display="Bekijk"/>
    <hyperlink ref="G95" r:id="rId91" display="Bekijk"/>
    <hyperlink ref="G96" r:id="rId92" display="Bekijk"/>
    <hyperlink ref="G97" r:id="rId93" display="Bekijk"/>
    <hyperlink ref="G98" r:id="rId94" display="Bekijk"/>
    <hyperlink ref="G99" r:id="rId95" display="Bekijk"/>
    <hyperlink ref="G100" r:id="rId96" display="Bekijk"/>
    <hyperlink ref="G101" r:id="rId97" display="Bekijk"/>
    <hyperlink ref="G102" r:id="rId98" display="Bekijk"/>
    <hyperlink ref="G103" r:id="rId99" display="Bekijk"/>
    <hyperlink ref="G104" r:id="rId100" display="Bekijk"/>
    <hyperlink ref="G105" r:id="rId101" display="Bekijk"/>
    <hyperlink ref="G106" r:id="rId102" display="Bekijk"/>
    <hyperlink ref="G107" r:id="rId103" display="Bekijk"/>
    <hyperlink ref="G108" r:id="rId104" display="Bekijk"/>
    <hyperlink ref="G109" r:id="rId105" display="Bekijk"/>
    <hyperlink ref="G110" r:id="rId106" display="Bekijk"/>
    <hyperlink ref="G111" r:id="rId107" display="Bekijk"/>
    <hyperlink ref="G112" r:id="rId108" display="Bekijk"/>
    <hyperlink ref="G113" r:id="rId109" display="Bekijk"/>
    <hyperlink ref="G114" r:id="rId110" display="Bekijk"/>
    <hyperlink ref="G115" r:id="rId111" display="Bekijk"/>
    <hyperlink ref="G116" r:id="rId112" display="Bekijk"/>
    <hyperlink ref="G117" r:id="rId113" display="Bekijk"/>
    <hyperlink ref="G118" r:id="rId114" display="Bekijk"/>
    <hyperlink ref="G119" r:id="rId115" display="Bekijk"/>
    <hyperlink ref="G120" r:id="rId116" display="Bekijk"/>
    <hyperlink ref="G121" r:id="rId117" display="Bekijk"/>
    <hyperlink ref="G122" r:id="rId118" display="Bekijk"/>
    <hyperlink ref="G123" r:id="rId119" display="Bekijk"/>
    <hyperlink ref="G124" r:id="rId120" display="Bekijk"/>
    <hyperlink ref="G125" r:id="rId121" display="Bekijk"/>
    <hyperlink ref="G126" r:id="rId122" display="Bekijk"/>
    <hyperlink ref="G127" r:id="rId123" display="Bekijk"/>
    <hyperlink ref="G128" r:id="rId124" display="Bekijk"/>
    <hyperlink ref="G129" r:id="rId125" display="Bekijk"/>
    <hyperlink ref="G130" r:id="rId126" display="Bekijk"/>
    <hyperlink ref="G131" r:id="rId127" display="Bekijk"/>
    <hyperlink ref="G132" r:id="rId128" display="Bekijk"/>
    <hyperlink ref="G133" r:id="rId129" display="Bekijk"/>
    <hyperlink ref="G134" r:id="rId130" display="Bekijk"/>
    <hyperlink ref="G135" r:id="rId131" display="Bekijk"/>
    <hyperlink ref="G136" r:id="rId132" display="Bekijk"/>
    <hyperlink ref="G137" r:id="rId133" display="Bekijk"/>
    <hyperlink ref="G138" r:id="rId134" display="Bekijk"/>
    <hyperlink ref="G139" r:id="rId135" display="Bekijk"/>
    <hyperlink ref="G140" r:id="rId136" display="Bekijk"/>
    <hyperlink ref="G141" r:id="rId137" display="Bekijk"/>
    <hyperlink ref="G142" r:id="rId138" display="Bekijk"/>
    <hyperlink ref="G143" r:id="rId139" display="Bekijk"/>
    <hyperlink ref="G144" r:id="rId140" display="Bekijk"/>
    <hyperlink ref="G145" r:id="rId141" display="Bekijk"/>
    <hyperlink ref="G146" r:id="rId142" display="Bekijk"/>
    <hyperlink ref="G147" r:id="rId143" display="Bekijk"/>
    <hyperlink ref="G148" r:id="rId144" display="Bekijk"/>
    <hyperlink ref="G149" r:id="rId145" display="Bekijk"/>
    <hyperlink ref="G150" r:id="rId146" display="Bekijk"/>
    <hyperlink ref="G151" r:id="rId147" display="Bekijk"/>
    <hyperlink ref="G152" r:id="rId148" display="Bekijk"/>
    <hyperlink ref="G153" r:id="rId149" display="Bekijk"/>
    <hyperlink ref="G154" r:id="rId150" display="Bekijk"/>
    <hyperlink ref="G155" r:id="rId151" display="Bekijk"/>
    <hyperlink ref="G156" r:id="rId152" display="Bekijk"/>
    <hyperlink ref="G157" r:id="rId153" display="Bekijk"/>
    <hyperlink ref="G158" r:id="rId154" display="Bekijk"/>
    <hyperlink ref="G159" r:id="rId155" display="Bekijk"/>
    <hyperlink ref="G160" r:id="rId156" display="Bekijk"/>
    <hyperlink ref="G161" r:id="rId157" display="Bekijk"/>
    <hyperlink ref="G162" r:id="rId158" display="Bekijk"/>
    <hyperlink ref="G163" r:id="rId159" display="Bekijk"/>
    <hyperlink ref="G164" r:id="rId160" display="Bekijk"/>
    <hyperlink ref="G165" r:id="rId161" display="Bekijk"/>
    <hyperlink ref="G166" r:id="rId162" display="Bekijk"/>
    <hyperlink ref="G167" r:id="rId163" display="Bekijk"/>
    <hyperlink ref="G168" r:id="rId164" display="Bekijk"/>
    <hyperlink ref="G169" r:id="rId165" display="Bekijk"/>
    <hyperlink ref="G170" r:id="rId166" display="Bekijk"/>
    <hyperlink ref="G171" r:id="rId167" display="Bekijk"/>
    <hyperlink ref="G172" r:id="rId168" display="Bekijk"/>
    <hyperlink ref="G173" r:id="rId169" display="Bekijk"/>
    <hyperlink ref="G174" r:id="rId170" display="Bekijk"/>
    <hyperlink ref="G175" r:id="rId171" display="Bekijk"/>
    <hyperlink ref="G176" r:id="rId172" display="Bekijk"/>
    <hyperlink ref="G177" r:id="rId173" display="Bekijk"/>
    <hyperlink ref="G178" r:id="rId174" display="Bekijk"/>
    <hyperlink ref="G179" r:id="rId175" display="Bekijk"/>
    <hyperlink ref="G180" r:id="rId176" display="Bekijk"/>
    <hyperlink ref="G181" r:id="rId177" display="Bekijk"/>
    <hyperlink ref="G182" r:id="rId178" display="Bekijk"/>
    <hyperlink ref="G183" r:id="rId179" display="Bekijk"/>
    <hyperlink ref="G184" r:id="rId180" display="Bekijk"/>
    <hyperlink ref="G185" r:id="rId181" display="Bekijk"/>
    <hyperlink ref="G186" r:id="rId182" display="Bekijk"/>
    <hyperlink ref="G187" r:id="rId183" display="Bekijk"/>
    <hyperlink ref="G188" r:id="rId184" display="Bekijk"/>
    <hyperlink ref="G189" r:id="rId185" display="Bekijk"/>
    <hyperlink ref="G190" r:id="rId186" display="Bekijk"/>
    <hyperlink ref="G191" r:id="rId187" display="Bekij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88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BFBF"/>
    <pageSetUpPr fitToPage="tru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0"/>
  </cols>
  <sheetData>
    <row r="1" customFormat="false" ht="19.7" hidden="false" customHeight="false" outlineLevel="0" collapsed="false">
      <c r="A1" s="1" t="s">
        <v>561</v>
      </c>
    </row>
    <row r="3" customFormat="false" ht="15" hidden="false" customHeight="false" outlineLevel="0" collapsed="false">
      <c r="A3" s="3" t="s">
        <v>30</v>
      </c>
      <c r="B3" s="24" t="s">
        <v>562</v>
      </c>
    </row>
    <row r="4" customFormat="false" ht="15" hidden="false" customHeight="false" outlineLevel="0" collapsed="false">
      <c r="A4" s="4" t="s">
        <v>563</v>
      </c>
      <c r="B4" s="24" t="s">
        <v>564</v>
      </c>
    </row>
    <row r="5" customFormat="false" ht="15" hidden="false" customHeight="false" outlineLevel="0" collapsed="false">
      <c r="A5" s="25" t="s">
        <v>565</v>
      </c>
      <c r="B5" s="24" t="s">
        <v>566</v>
      </c>
    </row>
    <row r="6" customFormat="false" ht="15" hidden="false" customHeight="false" outlineLevel="0" collapsed="false">
      <c r="A6" s="26" t="s">
        <v>567</v>
      </c>
      <c r="B6" s="24" t="s">
        <v>568</v>
      </c>
    </row>
    <row r="7" customFormat="false" ht="15" hidden="false" customHeight="false" outlineLevel="0" collapsed="false">
      <c r="A7" s="4" t="s">
        <v>569</v>
      </c>
      <c r="B7" s="24" t="s">
        <v>570</v>
      </c>
    </row>
    <row r="8" customFormat="false" ht="15" hidden="false" customHeight="false" outlineLevel="0" collapsed="false">
      <c r="A8" s="4" t="s">
        <v>571</v>
      </c>
      <c r="B8" s="24" t="s">
        <v>572</v>
      </c>
    </row>
    <row r="9" customFormat="false" ht="15" hidden="false" customHeight="false" outlineLevel="0" collapsed="false">
      <c r="A9" s="27" t="s">
        <v>573</v>
      </c>
      <c r="B9" s="24" t="s">
        <v>574</v>
      </c>
    </row>
    <row r="10" customFormat="false" ht="15" hidden="false" customHeight="false" outlineLevel="0" collapsed="false">
      <c r="A10" s="3" t="s">
        <v>33</v>
      </c>
      <c r="B10" s="24" t="s">
        <v>575</v>
      </c>
    </row>
    <row r="11" customFormat="false" ht="15" hidden="false" customHeight="false" outlineLevel="0" collapsed="false">
      <c r="A11" s="3" t="s">
        <v>576</v>
      </c>
      <c r="B11" s="24" t="s">
        <v>577</v>
      </c>
    </row>
    <row r="12" customFormat="false" ht="15" hidden="false" customHeight="false" outlineLevel="0" collapsed="false">
      <c r="A12" s="3" t="s">
        <v>35</v>
      </c>
      <c r="B12" s="24" t="s">
        <v>578</v>
      </c>
    </row>
    <row r="13" customFormat="false" ht="15" hidden="false" customHeight="false" outlineLevel="0" collapsed="false">
      <c r="A13" s="3" t="s">
        <v>39</v>
      </c>
      <c r="B13" s="24" t="s">
        <v>579</v>
      </c>
    </row>
    <row r="14" customFormat="false" ht="15" hidden="false" customHeight="false" outlineLevel="0" collapsed="false">
      <c r="A14" s="3" t="s">
        <v>580</v>
      </c>
      <c r="B14" s="24" t="s">
        <v>581</v>
      </c>
    </row>
    <row r="15" customFormat="false" ht="15" hidden="false" customHeight="false" outlineLevel="0" collapsed="false">
      <c r="A15" s="3" t="s">
        <v>582</v>
      </c>
      <c r="B15" s="24" t="s">
        <v>583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2026-09-29T16:54:22Z</dcterms:created>
  <dc:creator>openpyxl</dc:creator>
  <dc:description/>
  <dc:language>en-US</dc:language>
  <cp:lastModifiedBy/>
  <dcterms:modified xsi:type="dcterms:W3CDTF">2026-09-29T16:54:22Z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